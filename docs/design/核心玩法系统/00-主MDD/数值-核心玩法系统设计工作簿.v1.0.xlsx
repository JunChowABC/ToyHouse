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6efc673c5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f133e56e3b9402c"/>
    <x:sheet xmlns:r="http://schemas.openxmlformats.org/officeDocument/2006/relationships" name="单局盘面与输入" sheetId="2" r:id="R800bc145bbe045c8"/>
    <x:sheet xmlns:r="http://schemas.openxmlformats.org/officeDocument/2006/relationships" name="功能原型与皮肤" sheetId="3" r:id="R2bf1424eaf78443d"/>
    <x:sheet xmlns:r="http://schemas.openxmlformats.org/officeDocument/2006/relationships" name="受阻与撞击反馈" sheetId="4" r:id="R643fa273e5984382"/>
    <x:sheet xmlns:r="http://schemas.openxmlformats.org/officeDocument/2006/relationships" name="小鸭自动离场" sheetId="5" r:id="R17bfe9e12f5942f1"/>
    <x:sheet xmlns:r="http://schemas.openxmlformats.org/officeDocument/2006/relationships" name="连击" sheetId="6" r:id="R792319c21e5f4f37"/>
    <x:sheet xmlns:r="http://schemas.openxmlformats.org/officeDocument/2006/relationships" name="提示与重新开始" sheetId="7" r:id="R05496c29771b4e66"/>
    <x:sheet xmlns:r="http://schemas.openxmlformats.org/officeDocument/2006/relationships" name="通用枚举" sheetId="8" r:id="Ra69c35b61629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&quot; ms&quot;"/>
    <x:numFmt numFmtId="202" formatCode="0"/>
    <x:numFmt numFmtId="203" formatCode="0.000&quot; s&quot;"/>
    <x:numFmt numFmtId="204" formatCode="0.000"/>
  </x:numFmts>
  <x:fonts count="7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637083"/>
      <x:name val="Microsoft YaHei"/>
    </x:font>
    <x:font>
      <x:b/>
      <x:sz val="12"/>
      <x:color rgb="FF294A6B"/>
      <x:name val="Microsoft YaHei"/>
    </x:font>
    <x:font>
      <x:b/>
      <x:sz val="11"/>
      <x:color rgb="FFFFFFFF"/>
      <x:name val="Microsoft YaHei"/>
    </x:font>
    <x:font>
      <x:sz val="11"/>
      <x:color rgb="FF263445"/>
      <x:name val="Microsoft YaHei"/>
    </x:font>
    <x:font>
      <x:sz val="11"/>
      <x:color rgb="FF63708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94A6B"/>
      </x:patternFill>
    </x:fill>
    <x:fill>
      <x:patternFill patternType="solid">
        <x:fgColor rgb="FFDCEAF7"/>
      </x:patternFill>
    </x:fill>
    <x:fill>
      <x:patternFill patternType="solid">
        <x:fgColor rgb="FFAFCDE8"/>
      </x:patternFill>
    </x:fill>
    <x:fill>
      <x:patternFill patternType="solid">
        <x:fgColor rgb="FFE0F2E9"/>
      </x:patternFill>
    </x:fill>
    <x:fill>
      <x:patternFill patternType="solid">
        <x:fgColor rgb="FFFAD7B5"/>
      </x:patternFill>
    </x:fill>
    <x:fill>
      <x:patternFill patternType="solid">
        <x:fgColor rgb="FFFFF8E8"/>
      </x:patternFill>
    </x:fill>
    <x:fill>
      <x:patternFill patternType="solid">
        <x:fgColor rgb="FFFFF1B8"/>
      </x:patternFill>
    </x:fill>
    <x:fill>
      <x:patternFill patternType="solid">
        <x:fgColor rgb="FFEEF1F4"/>
      </x:patternFill>
    </x:fill>
  </x:fills>
  <x:borders count="4">
    <x:border/>
    <x:border>
      <x:left style="thin">
        <x:color rgb="FFCAD3DD"/>
      </x:left>
      <x:right style="thin">
        <x:color rgb="FFCAD3DD"/>
      </x:right>
      <x:top style="thin">
        <x:color rgb="FFCAD3DD"/>
      </x:top>
      <x:bottom style="thin">
        <x:color rgb="FFCAD3DD"/>
      </x:bottom>
    </x:border>
    <x:border>
      <x:bottom style="thin">
        <x:color rgb="FFCAD3DD"/>
      </x:bottom>
    </x:border>
    <x:border>
      <x:top style="thin">
        <x:color rgb="FFCAD3DD"/>
      </x:top>
      <x:bottom style="thin">
        <x:color rgb="FFCAD3DD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vertical="center" wrapText="1"/>
    </x:xf>
    <x:xf numFmtId="201" fontId="5" fillId="8" borderId="2" xfId="0" applyNumberFormat="1" applyFont="1" applyFill="1" applyBorder="1" applyAlignment="1">
      <x:alignment vertical="center" wrapText="1"/>
    </x:xf>
    <x:xf numFmtId="202" fontId="5" fillId="8" borderId="2" xfId="0" applyNumberFormat="1" applyFont="1" applyFill="1" applyBorder="1" applyAlignment="1">
      <x:alignment vertical="center" wrapText="1"/>
    </x:xf>
    <x:xf numFmtId="201" fontId="5" fillId="6" borderId="2" xfId="0" applyNumberFormat="1" applyFont="1" applyFill="1" applyBorder="1" applyAlignment="1">
      <x:alignment vertical="center" wrapText="1"/>
    </x:xf>
    <x:xf numFmtId="201" fontId="5" fillId="3" borderId="2" xfId="0" applyNumberFormat="1" applyFont="1" applyFill="1" applyBorder="1" applyAlignment="1">
      <x:alignment vertical="center" wrapText="1"/>
    </x:xf>
    <x:xf numFmtId="202" fontId="5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8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8" borderId="3" xfId="0" applyNumberFormat="1" applyFont="1" applyFill="1" applyBorder="1" applyAlignment="1">
      <x:alignment vertical="center" wrapText="1"/>
    </x:xf>
    <x:xf numFmtId="201" fontId="5" fillId="6" borderId="3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  <x:xf numFmtId="202" fontId="5" fillId="8" borderId="3" xfId="0" applyNumberFormat="1" applyFont="1" applyFill="1" applyBorder="1" applyAlignment="1">
      <x:alignment vertical="center" wrapText="1"/>
    </x:xf>
    <x:xf numFmtId="202" fontId="5" fillId="5" borderId="3" xfId="0" applyNumberFormat="1" applyFont="1" applyFill="1" applyBorder="1" applyAlignment="1">
      <x:alignment vertical="center" wrapText="1"/>
    </x:xf>
    <x:xf numFmtId="203" fontId="5" fillId="3" borderId="2" xfId="0" applyNumberFormat="1" applyFont="1" applyFill="1" applyBorder="1" applyAlignment="1">
      <x:alignment vertical="center" wrapText="1"/>
    </x:xf>
    <x:xf numFmtId="0" fontId="5" fillId="9" borderId="2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204" fontId="5" fillId="8" borderId="2" xfId="0" applyNumberFormat="1" applyFont="1" applyFill="1" applyBorder="1" applyAlignment="1">
      <x:alignment vertical="center" wrapText="1"/>
    </x:xf>
    <x:xf numFmtId="204" fontId="5" fillId="8" borderId="3" xfId="0" applyNumberFormat="1" applyFont="1" applyFill="1" applyBorder="1" applyAlignment="1">
      <x:alignment vertical="center" wrapText="1"/>
    </x:xf>
    <x:xf numFmtId="204" fontId="5" fillId="9" borderId="2" xfId="0" applyNumberFormat="1" applyFont="1" applyFill="1" applyBorder="1" applyAlignment="1">
      <x:alignment vertical="center" wrapText="1"/>
    </x:xf>
    <x:xf numFmtId="204" fontId="5" fillId="9" borderId="3" xfId="0" applyNumberFormat="1" applyFont="1" applyFill="1" applyBorder="1" applyAlignment="1">
      <x:alignment vertical="center" wrapText="1"/>
    </x:xf>
    <x:xf numFmtId="200" fontId="5" fillId="8" borderId="2" xfId="0" applyNumberFormat="1" applyFont="1" applyFill="1" applyBorder="1" applyAlignment="1">
      <x:alignment vertical="center" wrapText="1"/>
    </x:xf>
    <x:xf numFmtId="200" fontId="5" fillId="8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17888acdb4ae3" /><Relationship Type="http://schemas.openxmlformats.org/officeDocument/2006/relationships/theme" Target="/xl/theme/theme1.xml" Id="R0eef390265354db1" /><Relationship Type="http://schemas.microsoft.com/office/2022/11/relationships/FeaturePropertyBag" Target="/xl/featurePropertyBag/featurePropertyBag.xml" Id="Rf2cebbf541704bbb" /><Relationship Type="http://schemas.openxmlformats.org/officeDocument/2006/relationships/sharedStrings" Target="/xl/sharedStrings.xml" Id="R1a5c4c3131d64169" /><Relationship Type="http://schemas.openxmlformats.org/officeDocument/2006/relationships/worksheet" Target="/xl/worksheets/sheet1.xml" Id="R6f133e56e3b9402c" /><Relationship Type="http://schemas.openxmlformats.org/officeDocument/2006/relationships/worksheet" Target="/xl/worksheets/sheet2.xml" Id="R800bc145bbe045c8" /><Relationship Type="http://schemas.openxmlformats.org/officeDocument/2006/relationships/worksheet" Target="/xl/worksheets/sheet3.xml" Id="R2bf1424eaf78443d" /><Relationship Type="http://schemas.openxmlformats.org/officeDocument/2006/relationships/worksheet" Target="/xl/worksheets/sheet4.xml" Id="R643fa273e5984382" /><Relationship Type="http://schemas.openxmlformats.org/officeDocument/2006/relationships/worksheet" Target="/xl/worksheets/sheet5.xml" Id="R17bfe9e12f5942f1" /><Relationship Type="http://schemas.openxmlformats.org/officeDocument/2006/relationships/worksheet" Target="/xl/worksheets/sheet6.xml" Id="R792319c21e5f4f37" /><Relationship Type="http://schemas.openxmlformats.org/officeDocument/2006/relationships/worksheet" Target="/xl/worksheets/sheet7.xml" Id="R05496c29771b4e66" /><Relationship Type="http://schemas.openxmlformats.org/officeDocument/2006/relationships/worksheet" Target="/xl/worksheets/sheet8.xml" Id="Ra69c35b616294c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orkbookCoverageTable" displayName="WorkbookCoverageTable" ref="A11:H19" headerRowCount="1" totalsRowCount="0" totalsRowShown="0">
  <x:tableColumns count="8">
    <x:tableColumn id="1" name="序号"/>
    <x:tableColumn id="2" name="Sheet"/>
    <x:tableColumn id="3" name="业务模块"/>
    <x:tableColumn id="4" name="核心内容"/>
    <x:tableColumn id="5" name="正式值"/>
    <x:tableColumn id="6" name="测试值"/>
    <x:tableColumn id="7" name="配置表"/>
    <x:tableColumn id="8" name="覆盖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PlayBaseCfgTable" displayName="CorePlayBaseCfgTable" ref="A5:K6" headerRowCount="1" totalsRowCount="0" totalsRowShown="0">
  <x:tableColumns count="11">
    <x:tableColumn id="1" name="config_id"/>
    <x:tableColumn id="2" name="combo_timeout_ms"/>
    <x:tableColumn id="3" name="combo_boundary_mode"/>
    <x:tableColumn id="4" name="combo_zero_display_mode"/>
    <x:tableColumn id="5" name="restart_confirm_mode"/>
    <x:tableColumn id="6" name="auto_chain_lock_scope"/>
    <x:tableColumn id="7" name="hint_emphasis_ms"/>
    <x:tableColumn id="8" name="normal_complete_ms"/>
    <x:tableColumn id="9" name="collision_feedback_ms"/>
    <x:tableColumn id="10" name="数据级别"/>
    <x:tableColumn id="11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yArchetypeCfgTable" displayName="ToyArchetypeCfgTable" ref="A5:L8" headerRowCount="1" totalsRowCount="0" totalsRowShown="0">
  <x:tableColumns count="12">
    <x:tableColumn id="1" name="archetype_id"/>
    <x:tableColumn id="2" name="名称"/>
    <x:tableColumn id="3" name="width"/>
    <x:tableColumn id="4" name="axis_length"/>
    <x:tableColumn id="5" name="is_clickable"/>
    <x:tableColumn id="6" name="input_mode"/>
    <x:tableColumn id="7" name="exit_rule"/>
    <x:tableColumn id="8" name="block_move_mode"/>
    <x:tableColumn id="9" name="collision_enabled"/>
    <x:tableColumn id="10" name="同关单皮肤"/>
    <x:tableColumn id="11" name="唯一性"/>
    <x:tableColumn id="12" name="规则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ySkinCfgTable" displayName="ToySkinCfgTable" ref="A12:I15" headerRowCount="1" totalsRowCount="0" totalsRowShown="0">
  <x:tableColumns count="9">
    <x:tableColumn id="1" name="skin_id"/>
    <x:tableColumn id="2" name="skin_name"/>
    <x:tableColumn id="3" name="archetype_id"/>
    <x:tableColumn id="4" name="resource_id"/>
    <x:tableColumn id="5" name="direction_asset_mode"/>
    <x:tableColumn id="6" name="is_default"/>
    <x:tableColumn id="7" name="数据级别"/>
    <x:tableColumn id="8" name="引用检查"/>
    <x:tableColumn id="9" name="默认映射检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meplayFeedbackCfgTable" displayName="GameplayFeedbackCfgTable" ref="A5:K10" headerRowCount="1" totalsRowCount="0" totalsRowShown="0">
  <x:tableColumns count="11">
    <x:tableColumn id="1" name="feedback_id"/>
    <x:tableColumn id="2" name="feedback_name"/>
    <x:tableColumn id="3" name="event_type"/>
    <x:tableColumn id="4" name="target_scope"/>
    <x:tableColumn id="5" name="delay_ms"/>
    <x:tableColumn id="6" name="duration_ms"/>
    <x:tableColumn id="7" name="parallel_allowed"/>
    <x:tableColumn id="8" name="resource_id"/>
    <x:tableColumn id="9" name="数据级别"/>
    <x:tableColumn id="10" name="唯一性"/>
    <x:tableColumn id="11" name="规则检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ckChainScenarioTable" displayName="DuckChainScenarioTable" ref="A5:K8" headerRowCount="1" totalsRowCount="0" totalsRowShown="0">
  <x:tableColumns count="11">
    <x:tableColumn id="1" name="场景"/>
    <x:tableColumn id="2" name="初始玩具数"/>
    <x:tableColumn id="3" name="手动离场数"/>
    <x:tableColumn id="4" name="第1轮鸭"/>
    <x:tableColumn id="5" name="第2轮鸭"/>
    <x:tableColumn id="6" name="第3轮鸭"/>
    <x:tableColumn id="7" name="自动离场合计"/>
    <x:tableColumn id="8" name="有效离场合计"/>
    <x:tableColumn id="9" name="剩余玩具"/>
    <x:tableColumn id="10" name="是否完成"/>
    <x:tableColumn id="11" name="输入恢复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boBoundaryScenarioTable" displayName="ComboBoundaryScenarioTable" ref="A9:J21" headerRowCount="1" totalsRowCount="0" totalsRowShown="0">
  <x:tableColumns count="10">
    <x:tableColumn id="1" name="场景"/>
    <x:tableColumn id="2" name="序号"/>
    <x:tableColumn id="3" name="有效离场时刻(s)"/>
    <x:tableColumn id="4" name="玩具"/>
    <x:tableColumn id="5" name="与上一只间隔(s)"/>
    <x:tableColumn id="6" name="上一Combo"/>
    <x:tableColumn id="7" name="计算Combo"/>
    <x:tableColumn id="8" name="连续性"/>
    <x:tableColumn id="9" name="期望Combo"/>
    <x:tableColumn id="10" name="验算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intRestartConfigTable" displayName="HintRestartConfigTable" ref="A5:G9" headerRowCount="1" totalsRowCount="0" totalsRowShown="0">
  <x:tableColumns count="7">
    <x:tableColumn id="1" name="config_key"/>
    <x:tableColumn id="2" name="value"/>
    <x:tableColumn id="3" name="unit"/>
    <x:tableColumn id="4" name="数据级别"/>
    <x:tableColumn id="5" name="来源"/>
    <x:tableColumn id="6" name="范围"/>
    <x:tableColumn id="7" name="检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meplayEnumCfgTable" displayName="GameplayEnumCfgTable" ref="A5:F23" headerRowCount="1" totalsRowCount="0" totalsRowShown="0">
  <x:tableColumns count="6">
    <x:tableColumn id="1" name="enum_type"/>
    <x:tableColumn id="2" name="code"/>
    <x:tableColumn id="3" name="display_name"/>
    <x:tableColumn id="4" name="meaning"/>
    <x:tableColumn id="5" name="正式性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1f7879ac7041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79e743f36f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6ff91030074005" /><Relationship Type="http://schemas.openxmlformats.org/officeDocument/2006/relationships/table" Target="/xl/tables/table4.xml" Id="R2bec0a526b2f45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11da25700e749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06a54bbbd2a4e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292a12bf9594b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91b5a51f805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d1a0caa9620748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8.1299991607666" hidden="0" customWidth="1"/>
    <x:col min="3" max="3" width="13.75" hidden="0" customWidth="1"/>
    <x:col min="4" max="4" width="31.25" hidden="0" customWidth="1"/>
    <x:col min="5" max="5" width="16.25" hidden="0" customWidth="1"/>
    <x:col min="6" max="6" width="13.75" hidden="0" customWidth="1"/>
    <x:col min="7" max="7" width="25.6299991607666" hidden="0" customWidth="1"/>
    <x:col min="8" max="8" width="11.25" hidden="0" customWidth="1"/>
  </x:cols>
  <x:sheetData>
    <x:row r="1" ht="30" customHeight="1">
      <x:c r="A1" s="66" t="str">
        <x:v>《晚安，玩具屋》核心玩法系统｜数值与配置设计工作簿 v1.0</x:v>
      </x:c>
      <x:c r="B1" s="66"/>
      <x:c r="C1" s="66"/>
      <x:c r="D1" s="66"/>
      <x:c r="E1" s="66"/>
      <x:c r="F1" s="66"/>
      <x:c r="G1" s="66"/>
      <x:c r="H1" s="66"/>
    </x:row>
    <x:row r="2" ht="30" customHeight="1">
      <x:c r="A2" s="7" t="str">
        <x:v>来源：GDD v1.4、MDD-核心玩法系统 v1.0、已锁定用户决策。正式值以蓝色标识，测试值以橙色标识；未获得正式依据的资源编号不得直接上线。</x:v>
      </x:c>
      <x:c r="B2" s="7"/>
      <x:c r="C2" s="7"/>
      <x:c r="D2" s="7"/>
      <x:c r="E2" s="7"/>
      <x:c r="F2" s="7"/>
      <x:c r="G2" s="7"/>
      <x:c r="H2" s="7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 ht="23" customHeight="1">
      <x:c r="A4" s="68" t="str">
        <x:v>交付状态</x:v>
      </x:c>
      <x:c r="B4" s="68"/>
      <x:c r="C4" s="68"/>
      <x:c r="D4" s="68"/>
      <x:c r="E4" s="68"/>
      <x:c r="F4" s="68"/>
      <x:c r="G4" s="68"/>
      <x:c r="H4" s="68"/>
    </x:row>
    <x:row r="5">
      <x:c r="A5" s="14" t="str">
        <x:v>项目</x:v>
      </x:c>
      <x:c r="B5" s="14" t="str">
        <x:v>结论</x:v>
      </x:c>
      <x:c r="C5" s="14" t="str">
        <x:v>状态</x:v>
      </x:c>
      <x:c r="D5" s="14" t="str">
        <x:v>说明</x:v>
      </x:c>
      <x:c r="E5" s="67"/>
      <x:c r="F5" s="67"/>
      <x:c r="G5" s="67"/>
      <x:c r="H5" s="67"/>
    </x:row>
    <x:row r="6">
      <x:c r="A6" s="20" t="str">
        <x:v>规则成熟度</x:v>
      </x:c>
      <x:c r="B6" s="23" t="str">
        <x:v>已锁定</x:v>
      </x:c>
      <x:c r="C6" s="23" t="str">
        <x:v>可实现</x:v>
      </x:c>
      <x:c r="D6" s="20" t="str">
        <x:v>核心移动、自动离场、撞击、Combo 边界均已闭合</x:v>
      </x:c>
      <x:c r="E6" s="67"/>
      <x:c r="F6" s="67"/>
      <x:c r="G6" s="67"/>
      <x:c r="H6" s="67"/>
    </x:row>
    <x:row r="7">
      <x:c r="A7" s="21" t="str">
        <x:v>数值成熟度</x:v>
      </x:c>
      <x:c r="B7" s="24" t="str">
        <x:v>含测试值</x:v>
      </x:c>
      <x:c r="C7" s="24" t="str">
        <x:v>可验算</x:v>
      </x:c>
      <x:c r="D7" s="21" t="str">
        <x:v>8.000 秒为正式值；表现时长仍为测试值</x:v>
      </x:c>
      <x:c r="E7" s="67"/>
      <x:c r="F7" s="67"/>
      <x:c r="G7" s="67"/>
      <x:c r="H7" s="67"/>
    </x:row>
    <x:row r="8">
      <x:c r="A8" s="21" t="str">
        <x:v>配置覆盖率</x:v>
      </x:c>
      <x:c r="B8" s="25" t="n">
        <x:f>COUNTIF(H13:H19,"通过")/COUNTA(H13:H19)</x:f>
        <x:v>1</x:v>
      </x:c>
      <x:c r="C8" s="24" t="str">
        <x:f>IF(B8=1,"100%覆盖","待补齐")</x:f>
        <x:v>100%覆盖</x:v>
      </x:c>
      <x:c r="D8" s="21" t="str">
        <x:v>按本工作簿 7 个业务模块计算</x:v>
      </x:c>
      <x:c r="E8" s="67"/>
      <x:c r="F8" s="67"/>
      <x:c r="G8" s="67"/>
      <x:c r="H8" s="67"/>
    </x:row>
    <x:row r="9">
      <x:c r="A9" s="67"/>
      <x:c r="B9" s="67"/>
      <x:c r="C9" s="67"/>
      <x:c r="D9" s="67"/>
      <x:c r="E9" s="67"/>
      <x:c r="F9" s="67"/>
      <x:c r="G9" s="67"/>
      <x:c r="H9" s="67"/>
    </x:row>
    <x:row r="10" ht="23" customHeight="1">
      <x:c r="A10" s="68" t="str">
        <x:v>工作簿索引与覆盖检查</x:v>
      </x:c>
      <x:c r="B10" s="68"/>
      <x:c r="C10" s="68"/>
      <x:c r="D10" s="68"/>
      <x:c r="E10" s="68"/>
      <x:c r="F10" s="68"/>
      <x:c r="G10" s="68"/>
      <x:c r="H10" s="68"/>
    </x:row>
    <x:row r="11">
      <x:c r="A11" s="14" t="str">
        <x:v>序号</x:v>
      </x:c>
      <x:c r="B11" s="14" t="str">
        <x:v>Sheet</x:v>
      </x:c>
      <x:c r="C11" s="14" t="str">
        <x:v>业务模块</x:v>
      </x:c>
      <x:c r="D11" s="14" t="str">
        <x:v>核心内容</x:v>
      </x:c>
      <x:c r="E11" s="14" t="str">
        <x:v>正式值</x:v>
      </x:c>
      <x:c r="F11" s="14" t="str">
        <x:v>测试值</x:v>
      </x:c>
      <x:c r="G11" s="14" t="str">
        <x:v>配置表</x:v>
      </x:c>
      <x:c r="H11" s="14" t="str">
        <x:v>覆盖检查</x:v>
      </x:c>
    </x:row>
    <x:row r="12">
      <x:c r="A12" s="20" t="n">
        <x:v>1</x:v>
      </x:c>
      <x:c r="B12" s="20" t="str">
        <x:v>单局盘面与输入</x:v>
      </x:c>
      <x:c r="C12" s="20" t="str">
        <x:v>基础参数</x:v>
      </x:c>
      <x:c r="D12" s="20" t="str">
        <x:v>Combo、输入锁、重开确认</x:v>
      </x:c>
      <x:c r="E12" s="26" t="str">
        <x:v>8000ms/严格小于</x:v>
      </x:c>
      <x:c r="F12" s="28" t="str">
        <x:v>无</x:v>
      </x:c>
      <x:c r="G12" s="20" t="str">
        <x:v>core_play_base_cfg</x:v>
      </x:c>
      <x:c r="H12" s="23" t="str">
        <x:v>通过</x:v>
      </x:c>
    </x:row>
    <x:row r="13">
      <x:c r="A13" s="21" t="n">
        <x:v>2</x:v>
      </x:c>
      <x:c r="B13" s="21" t="str">
        <x:v>功能原型与皮肤</x:v>
      </x:c>
      <x:c r="C13" s="21" t="str">
        <x:v>功能原型</x:v>
      </x:c>
      <x:c r="D13" s="21" t="str">
        <x:v>兔子1×2、小鸭1×1、鲸鱼1×3</x:v>
      </x:c>
      <x:c r="E13" s="27" t="str">
        <x:v>占格/交互规则</x:v>
      </x:c>
      <x:c r="F13" s="29" t="str">
        <x:v>资源ID</x:v>
      </x:c>
      <x:c r="G13" s="21" t="str">
        <x:v>toy_archetype_cfg / toy_skin_cfg</x:v>
      </x:c>
      <x:c r="H13" s="24" t="str">
        <x:v>通过</x:v>
      </x:c>
    </x:row>
    <x:row r="14">
      <x:c r="A14" s="21" t="n">
        <x:v>3</x:v>
      </x:c>
      <x:c r="B14" s="21" t="str">
        <x:v>受阻与撞击反馈</x:v>
      </x:c>
      <x:c r="C14" s="21" t="str">
        <x:v>反馈</x:v>
      </x:c>
      <x:c r="D14" s="21" t="str">
        <x:v>主动与被撞对象同步播放</x:v>
      </x:c>
      <x:c r="E14" s="27" t="str">
        <x:v>立即触发</x:v>
      </x:c>
      <x:c r="F14" s="29" t="str">
        <x:v>180ms</x:v>
      </x:c>
      <x:c r="G14" s="21" t="str">
        <x:v>gameplay_feedback_cfg</x:v>
      </x:c>
      <x:c r="H14" s="24" t="str">
        <x:v>通过</x:v>
      </x:c>
    </x:row>
    <x:row r="15">
      <x:c r="A15" s="21" t="n">
        <x:v>4</x:v>
      </x:c>
      <x:c r="B15" s="21" t="str">
        <x:v>小鸭自动离场</x:v>
      </x:c>
      <x:c r="C15" s="21" t="str">
        <x:v>自动结算</x:v>
      </x:c>
      <x:c r="D15" s="21" t="str">
        <x:v>四方向寻路、逐轮扫描、并行动画</x:v>
      </x:c>
      <x:c r="E15" s="27" t="str">
        <x:v>逐只计Combo</x:v>
      </x:c>
      <x:c r="F15" s="29" t="str">
        <x:v>场景输入</x:v>
      </x:c>
      <x:c r="G15" s="21" t="str">
        <x:v>原型+基础参数</x:v>
      </x:c>
      <x:c r="H15" s="24" t="str">
        <x:v>通过</x:v>
      </x:c>
    </x:row>
    <x:row r="16">
      <x:c r="A16" s="21" t="n">
        <x:v>5</x:v>
      </x:c>
      <x:c r="B16" s="21" t="str">
        <x:v>连击</x:v>
      </x:c>
      <x:c r="C16" s="21" t="str">
        <x:v>Combo</x:v>
      </x:c>
      <x:c r="D16" s="21" t="str">
        <x:v>7.999/8.000/8.001边界</x:v>
      </x:c>
      <x:c r="E16" s="27" t="str">
        <x:v>8.000s</x:v>
      </x:c>
      <x:c r="F16" s="29" t="str">
        <x:v>场景时间点</x:v>
      </x:c>
      <x:c r="G16" s="21" t="str">
        <x:v>core_play_base_cfg</x:v>
      </x:c>
      <x:c r="H16" s="24" t="str">
        <x:v>通过</x:v>
      </x:c>
    </x:row>
    <x:row r="17">
      <x:c r="A17" s="21" t="n">
        <x:v>6</x:v>
      </x:c>
      <x:c r="B17" s="21" t="str">
        <x:v>提示与重新开始</x:v>
      </x:c>
      <x:c r="C17" s="21" t="str">
        <x:v>局内辅助</x:v>
      </x:c>
      <x:c r="D17" s="21" t="str">
        <x:v>提示不代操作，重开需确认</x:v>
      </x:c>
      <x:c r="E17" s="27" t="str">
        <x:v>锁定范围</x:v>
      </x:c>
      <x:c r="F17" s="29" t="str">
        <x:v>强调时长</x:v>
      </x:c>
      <x:c r="G17" s="21" t="str">
        <x:v>基础+反馈</x:v>
      </x:c>
      <x:c r="H17" s="24" t="str">
        <x:v>通过</x:v>
      </x:c>
    </x:row>
    <x:row r="18">
      <x:c r="A18" s="21" t="n">
        <x:v>7</x:v>
      </x:c>
      <x:c r="B18" s="21" t="str">
        <x:v>通用枚举</x:v>
      </x:c>
      <x:c r="C18" s="21" t="str">
        <x:v>枚举</x:v>
      </x:c>
      <x:c r="D18" s="21" t="str">
        <x:v>模式码与中文释义</x:v>
      </x:c>
      <x:c r="E18" s="27" t="str">
        <x:v>模式定义</x:v>
      </x:c>
      <x:c r="F18" s="29" t="str">
        <x:v>无</x:v>
      </x:c>
      <x:c r="G18" s="21" t="str">
        <x:v>gameplay_enum_cfg</x:v>
      </x:c>
      <x:c r="H18" s="24" t="str">
        <x:v>通过</x:v>
      </x:c>
    </x:row>
    <x:row r="19">
      <x:c r="A19" s="21" t="n">
        <x:v>8</x:v>
      </x:c>
      <x:c r="B19" s="21" t="str">
        <x:v>总览</x:v>
      </x:c>
      <x:c r="C19" s="21" t="str">
        <x:v>治理</x:v>
      </x:c>
      <x:c r="D19" s="21" t="str">
        <x:v>来源、成熟度、覆盖率、自检</x:v>
      </x:c>
      <x:c r="E19" s="27" t="str">
        <x:v>规则引用</x:v>
      </x:c>
      <x:c r="F19" s="29" t="str">
        <x:v>无</x:v>
      </x:c>
      <x:c r="G19" s="21" t="str">
        <x:v>无</x:v>
      </x:c>
      <x:c r="H19" s="24" t="str">
        <x:v>通过</x:v>
      </x:c>
    </x:row>
    <x:row r="20">
      <x:c r="A20" s="67"/>
      <x:c r="B20" s="67"/>
      <x:c r="C20" s="67"/>
      <x:c r="D20" s="67"/>
      <x:c r="E20" s="67"/>
      <x:c r="F20" s="67"/>
      <x:c r="G20" s="67"/>
      <x:c r="H20" s="67"/>
    </x:row>
    <x:row r="21" ht="23" customHeight="1">
      <x:c r="A21" s="68" t="str">
        <x:v>使用约定</x:v>
      </x:c>
      <x:c r="B21" s="68"/>
      <x:c r="C21" s="68"/>
      <x:c r="D21" s="68"/>
      <x:c r="E21" s="68"/>
      <x:c r="F21" s="68"/>
      <x:c r="G21" s="68"/>
      <x:c r="H21" s="68"/>
    </x:row>
    <x:row r="22">
      <x:c r="A22" s="65" t="str">
        <x:v>1. 黄色单元格为策划可编辑输入；绿色/灰色单元格为公式结果或只读结论。</x:v>
      </x:c>
      <x:c r="B22" s="65"/>
      <x:c r="C22" s="65"/>
      <x:c r="D22" s="65"/>
      <x:c r="E22" s="65"/>
      <x:c r="F22" s="65"/>
      <x:c r="G22" s="65"/>
      <x:c r="H22" s="65"/>
    </x:row>
    <x:row r="23">
      <x:c r="A23" s="65" t="str">
        <x:v>2. 正式值有文档或用户确认依据；测试值只用于原型与手感验证，不得静默转为正式值。</x:v>
      </x:c>
      <x:c r="B23" s="65"/>
      <x:c r="C23" s="65"/>
      <x:c r="D23" s="65"/>
      <x:c r="E23" s="65"/>
      <x:c r="F23" s="65"/>
      <x:c r="G23" s="65"/>
      <x:c r="H23" s="65"/>
    </x:row>
    <x:row r="24">
      <x:c r="A24" s="65" t="str">
        <x:v>3. 修改基础参数后，必须检查“连击”“小鸭自动离场”和各 Sheet 的验算结果。</x:v>
      </x:c>
      <x:c r="B24" s="65"/>
      <x:c r="C24" s="65"/>
      <x:c r="D24" s="65"/>
      <x:c r="E24" s="65"/>
      <x:c r="F24" s="65"/>
      <x:c r="G24" s="65"/>
      <x:c r="H24" s="65"/>
    </x:row>
    <x:row r="25">
      <x:c r="A25" s="65" t="str">
        <x:v>4. 关卡实例配置属于关卡系统，不在本工作簿重复维护；这里只定义核心玩法共享规则。</x:v>
      </x:c>
      <x:c r="B25" s="65"/>
      <x:c r="C25" s="65"/>
      <x:c r="D25" s="65"/>
      <x:c r="E25" s="65"/>
      <x:c r="F25" s="65"/>
      <x:c r="G25" s="65"/>
      <x:c r="H25" s="65"/>
    </x:row>
  </x:sheetData>
  <x:mergeCells>
    <x:mergeCell ref="A1:H1"/>
    <x:mergeCell ref="A2:H2"/>
    <x:mergeCell ref="A4:H4"/>
    <x:mergeCell ref="A10:H1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  <x:tableParts count="1">
    <x:tablePart xmlns:r="http://schemas.openxmlformats.org/officeDocument/2006/relationships" r:id="Rd01f7879ac7041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1299991607666" hidden="0" customWidth="1"/>
    <x:col min="3" max="3" width="18.1299991607666" hidden="0" customWidth="1"/>
    <x:col min="4" max="4" width="19.3799991607666" hidden="0" customWidth="1"/>
    <x:col min="5" max="5" width="19.3799991607666" hidden="0" customWidth="1"/>
    <x:col min="6" max="6" width="20" hidden="0" customWidth="1"/>
    <x:col min="7" max="7" width="16.8799991607666" hidden="0" customWidth="1"/>
    <x:col min="8" max="8" width="18.75" hidden="0" customWidth="1"/>
    <x:col min="9" max="9" width="19.3799991607666" hidden="0" customWidth="1"/>
    <x:col min="10" max="10" width="11.25" hidden="0" customWidth="1"/>
    <x:col min="11" max="11" width="31.25" hidden="0" customWidth="1"/>
  </x:cols>
  <x:sheetData>
    <x:row r="1" ht="30" customHeight="1">
      <x:c r="A1" s="66" t="str">
        <x:v>单局盘面与输入｜core_play_base_cfg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30" customHeight="1">
      <x:c r="A2" s="7" t="str">
        <x:v>本 Sheet 是基础规则的单一事实来源。修改黄色输入后，连击与自动离场验算会同步更新。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 ht="23" customHeight="1">
      <x:c r="A4" s="68" t="str">
        <x:v>基础参数主表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</x:row>
    <x:row r="5">
      <x:c r="A5" s="14" t="str">
        <x:v>config_id</x:v>
      </x:c>
      <x:c r="B5" s="14" t="str">
        <x:v>combo_timeout_ms</x:v>
      </x:c>
      <x:c r="C5" s="14" t="str">
        <x:v>combo_boundary_mode</x:v>
      </x:c>
      <x:c r="D5" s="14" t="str">
        <x:v>combo_zero_display_mode</x:v>
      </x:c>
      <x:c r="E5" s="14" t="str">
        <x:v>restart_confirm_mode</x:v>
      </x:c>
      <x:c r="F5" s="14" t="str">
        <x:v>auto_chain_lock_scope</x:v>
      </x:c>
      <x:c r="G5" s="14" t="str">
        <x:v>hint_emphasis_ms</x:v>
      </x:c>
      <x:c r="H5" s="14" t="str">
        <x:v>normal_complete_ms</x:v>
      </x:c>
      <x:c r="I5" s="14" t="str">
        <x:v>collision_feedback_ms</x:v>
      </x:c>
      <x:c r="J5" s="14" t="str">
        <x:v>数据级别</x:v>
      </x:c>
      <x:c r="K5" s="14" t="str">
        <x:v>来源</x:v>
      </x:c>
    </x:row>
    <x:row r="6">
      <x:c r="A6" s="33" t="n">
        <x:v>1</x:v>
      </x:c>
      <x:c r="B6" s="37" t="n">
        <x:v>8000</x:v>
      </x:c>
      <x:c r="C6" s="38" t="n">
        <x:v>1</x:v>
      </x:c>
      <x:c r="D6" s="38" t="n">
        <x:v>1</x:v>
      </x:c>
      <x:c r="E6" s="38" t="n">
        <x:v>1</x:v>
      </x:c>
      <x:c r="F6" s="38" t="n">
        <x:v>1</x:v>
      </x:c>
      <x:c r="G6" s="36" t="n">
        <x:v>1200</x:v>
      </x:c>
      <x:c r="H6" s="36" t="n">
        <x:v>800</x:v>
      </x:c>
      <x:c r="I6" s="36" t="n">
        <x:v>180</x:v>
      </x:c>
      <x:c r="J6" s="20" t="str">
        <x:v>混合</x:v>
      </x:c>
      <x:c r="K6" s="20" t="str">
        <x:v>GDD v1.4 / 用户锁定 / MDD v1.0</x:v>
      </x:c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</x:row>
    <x:row r="9" ht="23" customHeight="1">
      <x:c r="A9" s="68" t="str">
        <x:v>约束与自动验算</x:v>
      </x:c>
      <x:c r="B9" s="68"/>
      <x:c r="C9" s="68"/>
      <x:c r="D9" s="68"/>
      <x:c r="E9" s="68"/>
      <x:c r="F9" s="68"/>
      <x:c r="G9" s="68"/>
      <x:c r="H9" s="68"/>
      <x:c r="I9" s="68"/>
      <x:c r="J9" s="68"/>
      <x:c r="K9" s="68"/>
    </x:row>
    <x:row r="10">
      <x:c r="A10" s="14" t="str">
        <x:v>检查项</x:v>
      </x:c>
      <x:c r="B10" s="14" t="str">
        <x:v>被检字段</x:v>
      </x:c>
      <x:c r="C10" s="14" t="str">
        <x:v>规则</x:v>
      </x:c>
      <x:c r="D10" s="14" t="str">
        <x:v>公式结果</x:v>
      </x:c>
      <x:c r="E10" s="14" t="str">
        <x:v>处理</x:v>
      </x:c>
      <x:c r="F10" s="67"/>
      <x:c r="G10" s="67"/>
      <x:c r="H10" s="67"/>
      <x:c r="I10" s="67"/>
      <x:c r="J10" s="67"/>
      <x:c r="K10" s="67"/>
    </x:row>
    <x:row r="11">
      <x:c r="A11" s="20" t="str">
        <x:v>Combo时长</x:v>
      </x:c>
      <x:c r="B11" s="20" t="str">
        <x:v>combo_timeout_ms</x:v>
      </x:c>
      <x:c r="C11" s="20" t="str">
        <x:v>&gt;0</x:v>
      </x:c>
      <x:c r="D11" s="23" t="str">
        <x:f>IF(B6&gt;0,"通过","失败")</x:f>
        <x:v>通过</x:v>
      </x:c>
      <x:c r="E11" s="20" t="str">
        <x:v>失败则禁止导出</x:v>
      </x:c>
      <x:c r="F11" s="67"/>
      <x:c r="G11" s="67"/>
      <x:c r="H11" s="67"/>
      <x:c r="I11" s="67"/>
      <x:c r="J11" s="67"/>
      <x:c r="K11" s="67"/>
    </x:row>
    <x:row r="12">
      <x:c r="A12" s="21" t="str">
        <x:v>边界模式</x:v>
      </x:c>
      <x:c r="B12" s="21" t="str">
        <x:v>combo_boundary_mode</x:v>
      </x:c>
      <x:c r="C12" s="21" t="str">
        <x:v>1=严格小于</x:v>
      </x:c>
      <x:c r="D12" s="24" t="str">
        <x:f>IF(C6=1,"通过","失败")</x:f>
        <x:v>通过</x:v>
      </x:c>
      <x:c r="E12" s="21" t="str">
        <x:v>其他模式未实现</x:v>
      </x:c>
      <x:c r="F12" s="67"/>
      <x:c r="G12" s="67"/>
      <x:c r="H12" s="67"/>
      <x:c r="I12" s="67"/>
      <x:c r="J12" s="67"/>
      <x:c r="K12" s="67"/>
    </x:row>
    <x:row r="13">
      <x:c r="A13" s="21" t="str">
        <x:v>归零显示</x:v>
      </x:c>
      <x:c r="B13" s="21" t="str">
        <x:v>combo_zero_display_mode</x:v>
      </x:c>
      <x:c r="C13" s="21" t="str">
        <x:v>1=隐藏进度条</x:v>
      </x:c>
      <x:c r="D13" s="24" t="str">
        <x:f>IF(D6=1,"通过","失败")</x:f>
        <x:v>通过</x:v>
      </x:c>
      <x:c r="E13" s="21" t="str">
        <x:v>必须与UI文档一致</x:v>
      </x:c>
      <x:c r="F13" s="67"/>
      <x:c r="G13" s="67"/>
      <x:c r="H13" s="67"/>
      <x:c r="I13" s="67"/>
      <x:c r="J13" s="67"/>
      <x:c r="K13" s="67"/>
    </x:row>
    <x:row r="14">
      <x:c r="A14" s="21" t="str">
        <x:v>重开确认</x:v>
      </x:c>
      <x:c r="B14" s="21" t="str">
        <x:v>restart_confirm_mode</x:v>
      </x:c>
      <x:c r="C14" s="21" t="str">
        <x:v>1=必须确认</x:v>
      </x:c>
      <x:c r="D14" s="24" t="str">
        <x:f>IF(E6=1,"通过","失败")</x:f>
        <x:v>通过</x:v>
      </x:c>
      <x:c r="E14" s="21" t="str">
        <x:v>禁止无确认重置</x:v>
      </x:c>
      <x:c r="F14" s="67"/>
      <x:c r="G14" s="67"/>
      <x:c r="H14" s="67"/>
      <x:c r="I14" s="67"/>
      <x:c r="J14" s="67"/>
      <x:c r="K14" s="67"/>
    </x:row>
    <x:row r="15">
      <x:c r="A15" s="21" t="str">
        <x:v>自动连锁锁定</x:v>
      </x:c>
      <x:c r="B15" s="21" t="str">
        <x:v>auto_chain_lock_scope</x:v>
      </x:c>
      <x:c r="C15" s="21" t="str">
        <x:v>1=玩具+提示+重开</x:v>
      </x:c>
      <x:c r="D15" s="24" t="str">
        <x:f>IF(F6=1,"通过","失败")</x:f>
        <x:v>通过</x:v>
      </x:c>
      <x:c r="E15" s="21" t="str">
        <x:v>必须锁定三类输入</x:v>
      </x:c>
      <x:c r="F15" s="67"/>
      <x:c r="G15" s="67"/>
      <x:c r="H15" s="67"/>
      <x:c r="I15" s="67"/>
      <x:c r="J15" s="67"/>
      <x:c r="K15" s="67"/>
    </x:row>
    <x:row r="16">
      <x:c r="A16" s="21" t="str">
        <x:v>总体</x:v>
      </x:c>
      <x:c r="B16" s="21" t="str">
        <x:v>全部</x:v>
      </x:c>
      <x:c r="C16" s="21" t="str">
        <x:v>全部通过</x:v>
      </x:c>
      <x:c r="D16" s="24" t="str">
        <x:f>IF(COUNTIF(D11:D15,"失败")=0,"通过","失败")</x:f>
        <x:v>通过</x:v>
      </x:c>
      <x:c r="E16" s="21" t="str">
        <x:v>任一失败即不通过</x:v>
      </x:c>
      <x:c r="F16" s="67"/>
      <x:c r="G16" s="67"/>
      <x:c r="H16" s="67"/>
      <x:c r="I16" s="67"/>
      <x:c r="J16" s="67"/>
      <x:c r="K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</x:row>
    <x:row r="19" ht="23" customHeight="1">
      <x:c r="A19" s="68" t="str">
        <x:v>字段解释</x:v>
      </x:c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</x:row>
    <x:row r="20">
      <x:c r="A20" s="14" t="str">
        <x:v>字段</x:v>
      </x:c>
      <x:c r="B20" s="14" t="str">
        <x:v>解释</x:v>
      </x:c>
      <x:c r="C20" s="14" t="str">
        <x:v>值域</x:v>
      </x:c>
      <x:c r="D20" s="14" t="str">
        <x:v>数据级别</x:v>
      </x:c>
      <x:c r="E20" s="67"/>
      <x:c r="F20" s="67"/>
      <x:c r="G20" s="67"/>
      <x:c r="H20" s="67"/>
      <x:c r="I20" s="67"/>
      <x:c r="J20" s="67"/>
      <x:c r="K20" s="67"/>
    </x:row>
    <x:row r="21">
      <x:c r="A21" s="20" t="str">
        <x:v>combo_timeout_ms</x:v>
      </x:c>
      <x:c r="B21" s="20" t="str">
        <x:v>从上一次有效离场起计时；达到阈值时旧Combo已中断</x:v>
      </x:c>
      <x:c r="C21" s="20" t="str">
        <x:v>&gt;0</x:v>
      </x:c>
      <x:c r="D21" s="26" t="str">
        <x:v>正式</x:v>
      </x:c>
      <x:c r="E21" s="67"/>
      <x:c r="F21" s="67"/>
      <x:c r="G21" s="67"/>
      <x:c r="H21" s="67"/>
      <x:c r="I21" s="67"/>
      <x:c r="J21" s="67"/>
      <x:c r="K21" s="67"/>
    </x:row>
    <x:row r="22">
      <x:c r="A22" s="21" t="str">
        <x:v>combo_boundary_mode</x:v>
      </x:c>
      <x:c r="B22" s="21" t="str">
        <x:v>1=仅间隔严格小于阈值时延续</x:v>
      </x:c>
      <x:c r="C22" s="21" t="str">
        <x:v>1</x:v>
      </x:c>
      <x:c r="D22" s="27" t="str">
        <x:v>正式</x:v>
      </x:c>
      <x:c r="E22" s="67"/>
      <x:c r="F22" s="67"/>
      <x:c r="G22" s="67"/>
      <x:c r="H22" s="67"/>
      <x:c r="I22" s="67"/>
      <x:c r="J22" s="67"/>
      <x:c r="K22" s="67"/>
    </x:row>
    <x:row r="23">
      <x:c r="A23" s="21" t="str">
        <x:v>combo_zero_display_mode</x:v>
      </x:c>
      <x:c r="B23" s="21" t="str">
        <x:v>1=Combo归零时整条进度条隐藏</x:v>
      </x:c>
      <x:c r="C23" s="21" t="str">
        <x:v>1</x:v>
      </x:c>
      <x:c r="D23" s="27" t="str">
        <x:v>正式</x:v>
      </x:c>
      <x:c r="E23" s="67"/>
      <x:c r="F23" s="67"/>
      <x:c r="G23" s="67"/>
      <x:c r="H23" s="67"/>
      <x:c r="I23" s="67"/>
      <x:c r="J23" s="67"/>
      <x:c r="K23" s="67"/>
    </x:row>
    <x:row r="24">
      <x:c r="A24" s="21" t="str">
        <x:v>restart_confirm_mode</x:v>
      </x:c>
      <x:c r="B24" s="21" t="str">
        <x:v>1=点击重开先打开确认弹窗</x:v>
      </x:c>
      <x:c r="C24" s="21" t="str">
        <x:v>1</x:v>
      </x:c>
      <x:c r="D24" s="27" t="str">
        <x:v>正式</x:v>
      </x:c>
      <x:c r="E24" s="67"/>
      <x:c r="F24" s="67"/>
      <x:c r="G24" s="67"/>
      <x:c r="H24" s="67"/>
      <x:c r="I24" s="67"/>
      <x:c r="J24" s="67"/>
      <x:c r="K24" s="67"/>
    </x:row>
    <x:row r="25">
      <x:c r="A25" s="21" t="str">
        <x:v>auto_chain_lock_scope</x:v>
      </x:c>
      <x:c r="B25" s="21" t="str">
        <x:v>1=自动连锁期间锁定玩具、提示和重开</x:v>
      </x:c>
      <x:c r="C25" s="21" t="str">
        <x:v>1</x:v>
      </x:c>
      <x:c r="D25" s="27" t="str">
        <x:v>正式</x:v>
      </x:c>
      <x:c r="E25" s="67"/>
      <x:c r="F25" s="67"/>
      <x:c r="G25" s="67"/>
      <x:c r="H25" s="67"/>
      <x:c r="I25" s="67"/>
      <x:c r="J25" s="67"/>
      <x:c r="K25" s="67"/>
    </x:row>
    <x:row r="26">
      <x:c r="A26" s="21" t="str">
        <x:v>hint_emphasis_ms</x:v>
      </x:c>
      <x:c r="B26" s="21" t="str">
        <x:v>提示目标强调时长</x:v>
      </x:c>
      <x:c r="C26" s="21" t="str">
        <x:v>300～3000</x:v>
      </x:c>
      <x:c r="D26" s="29" t="str">
        <x:v>测试</x:v>
      </x:c>
      <x:c r="E26" s="67"/>
      <x:c r="F26" s="67"/>
      <x:c r="G26" s="67"/>
      <x:c r="H26" s="67"/>
      <x:c r="I26" s="67"/>
      <x:c r="J26" s="67"/>
      <x:c r="K26" s="67"/>
    </x:row>
    <x:row r="27">
      <x:c r="A27" s="21" t="str">
        <x:v>normal_complete_ms</x:v>
      </x:c>
      <x:c r="B27" s="21" t="str">
        <x:v>普通关卡完成反馈最短展示时长</x:v>
      </x:c>
      <x:c r="C27" s="21" t="str">
        <x:v>300～3000</x:v>
      </x:c>
      <x:c r="D27" s="29" t="str">
        <x:v>测试</x:v>
      </x:c>
      <x:c r="E27" s="67"/>
      <x:c r="F27" s="67"/>
      <x:c r="G27" s="67"/>
      <x:c r="H27" s="67"/>
      <x:c r="I27" s="67"/>
      <x:c r="J27" s="67"/>
      <x:c r="K27" s="67"/>
    </x:row>
  </x:sheetData>
  <x:mergeCells>
    <x:mergeCell ref="A1:K1"/>
    <x:mergeCell ref="A2:K2"/>
    <x:mergeCell ref="A4:K4"/>
    <x:mergeCell ref="A9:K9"/>
    <x:mergeCell ref="A19:K19"/>
  </x:mergeCells>
  <x:dataValidations count="1">
    <x:dataValidation type="list" sqref="C6:F6">
      <x:formula1>"1"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79e743f36f4d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2.5" hidden="0" customWidth="1"/>
    <x:col min="7" max="7" width="12.5" hidden="0" customWidth="1"/>
    <x:col min="8" max="8" width="15" hidden="0" customWidth="1"/>
    <x:col min="9" max="9" width="15" hidden="0" customWidth="1"/>
    <x:col min="10" max="10" width="13.75" hidden="0" customWidth="1"/>
    <x:col min="11" max="11" width="11.25" hidden="0" customWidth="1"/>
    <x:col min="12" max="12" width="12.5" hidden="0" customWidth="1"/>
  </x:cols>
  <x:sheetData>
    <x:row r="1" ht="30" customHeight="1">
      <x:c r="A1" s="66" t="str">
        <x:v>功能原型与皮肤｜toy_archetype_cfg + toy_skin_cfg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</x:row>
    <x:row r="2" ht="30" customHeight="1">
      <x:c r="A2" s="7" t="str">
        <x:v>功能与皮肤分离：同一关同一功能原型只选择一种皮肤；兔子、小鸭、鲸鱼是当前默认皮肤。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23" customHeight="1">
      <x:c r="A4" s="68" t="str">
        <x:v>功能原型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</x:row>
    <x:row r="5">
      <x:c r="A5" s="14" t="str">
        <x:v>archetype_id</x:v>
      </x:c>
      <x:c r="B5" s="14" t="str">
        <x:v>名称</x:v>
      </x:c>
      <x:c r="C5" s="14" t="str">
        <x:v>width</x:v>
      </x:c>
      <x:c r="D5" s="14" t="str">
        <x:v>axis_length</x:v>
      </x:c>
      <x:c r="E5" s="14" t="str">
        <x:v>is_clickable</x:v>
      </x:c>
      <x:c r="F5" s="14" t="str">
        <x:v>input_mode</x:v>
      </x:c>
      <x:c r="G5" s="14" t="str">
        <x:v>exit_rule</x:v>
      </x:c>
      <x:c r="H5" s="14" t="str">
        <x:v>block_move_mode</x:v>
      </x:c>
      <x:c r="I5" s="14" t="str">
        <x:v>collision_enabled</x:v>
      </x:c>
      <x:c r="J5" s="14" t="str">
        <x:v>同关单皮肤</x:v>
      </x:c>
      <x:c r="K5" s="14" t="str">
        <x:v>唯一性</x:v>
      </x:c>
      <x:c r="L5" s="14" t="str">
        <x:v>规则检查</x:v>
      </x:c>
    </x:row>
    <x:row r="6">
      <x:c r="A6" s="33" t="n">
        <x:v>1001</x:v>
      </x:c>
      <x:c r="B6" s="33" t="str">
        <x:v>普通长条原型</x:v>
      </x:c>
      <x:c r="C6" s="33" t="n">
        <x:v>1</x:v>
      </x:c>
      <x:c r="D6" s="33" t="n">
        <x:v>2</x:v>
      </x:c>
      <x:c r="E6" s="47" t="b">
        <x:v>1</x:v>
      </x:c>
      <x:c r="F6" s="33" t="n">
        <x:v>1</x:v>
      </x:c>
      <x:c r="G6" s="33" t="n">
        <x:v>1</x:v>
      </x:c>
      <x:c r="H6" s="33" t="n">
        <x:v>1</x:v>
      </x:c>
      <x:c r="I6" s="47" t="b">
        <x:v>1</x:v>
      </x:c>
      <x:c r="J6" s="47" t="b">
        <x:v>1</x:v>
      </x:c>
      <x:c r="K6" s="23" t="str">
        <x:f>IF(COUNTIF($A$6:$A$8,A6)=1,"通过","重复")</x:f>
        <x:v>通过</x:v>
      </x:c>
      <x:c r="L6" s="23" t="str">
        <x:f>IF(AND(C6=1,D6=2,E6=TRUE,F6=1,G6=1,H6=1),"通过","失败")</x:f>
        <x:v>通过</x:v>
      </x:c>
    </x:row>
    <x:row r="7">
      <x:c r="A7" s="48" t="n">
        <x:v>1002</x:v>
      </x:c>
      <x:c r="B7" s="48" t="str">
        <x:v>自动寻路原型</x:v>
      </x:c>
      <x:c r="C7" s="48" t="n">
        <x:v>1</x:v>
      </x:c>
      <x:c r="D7" s="48" t="n">
        <x:v>1</x:v>
      </x:c>
      <x:c r="E7" s="49" t="b">
        <x:v>0</x:v>
      </x:c>
      <x:c r="F7" s="48" t="n">
        <x:v>2</x:v>
      </x:c>
      <x:c r="G7" s="48" t="n">
        <x:v>2</x:v>
      </x:c>
      <x:c r="H7" s="48" t="n">
        <x:v>0</x:v>
      </x:c>
      <x:c r="I7" s="49" t="b">
        <x:v>1</x:v>
      </x:c>
      <x:c r="J7" s="49" t="b">
        <x:v>1</x:v>
      </x:c>
      <x:c r="K7" s="24" t="str">
        <x:f>IF(COUNTIF($A$6:$A$8,A7)=1,"通过","重复")</x:f>
        <x:v>通过</x:v>
      </x:c>
      <x:c r="L7" s="24" t="str">
        <x:f>IF(AND(C7=1,D7=1,E7=FALSE,F7=2,G7=2,H7=0),"通过","失败")</x:f>
        <x:v>通过</x:v>
      </x:c>
    </x:row>
    <x:row r="8">
      <x:c r="A8" s="48" t="n">
        <x:v>1003</x:v>
      </x:c>
      <x:c r="B8" s="48" t="str">
        <x:v>大型长条原型</x:v>
      </x:c>
      <x:c r="C8" s="48" t="n">
        <x:v>1</x:v>
      </x:c>
      <x:c r="D8" s="48" t="n">
        <x:v>3</x:v>
      </x:c>
      <x:c r="E8" s="49" t="b">
        <x:v>1</x:v>
      </x:c>
      <x:c r="F8" s="48" t="n">
        <x:v>1</x:v>
      </x:c>
      <x:c r="G8" s="48" t="n">
        <x:v>1</x:v>
      </x:c>
      <x:c r="H8" s="48" t="n">
        <x:v>1</x:v>
      </x:c>
      <x:c r="I8" s="49" t="b">
        <x:v>1</x:v>
      </x:c>
      <x:c r="J8" s="49" t="b">
        <x:v>1</x:v>
      </x:c>
      <x:c r="K8" s="24" t="str">
        <x:f>IF(COUNTIF($A$6:$A$8,A8)=1,"通过","重复")</x:f>
        <x:v>通过</x:v>
      </x:c>
      <x:c r="L8" s="24" t="str">
        <x:f>IF(AND(C8=1,D8=3,E8=TRUE,F8=1,G8=1,H8=1),"通过","失败")</x:f>
        <x:v>通过</x:v>
      </x:c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</x:row>
    <x:row r="11" ht="23" customHeight="1">
      <x:c r="A11" s="68" t="str">
        <x:v>当前默认皮肤</x:v>
      </x:c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</x:row>
    <x:row r="12">
      <x:c r="A12" s="14" t="str">
        <x:v>skin_id</x:v>
      </x:c>
      <x:c r="B12" s="14" t="str">
        <x:v>skin_name</x:v>
      </x:c>
      <x:c r="C12" s="14" t="str">
        <x:v>archetype_id</x:v>
      </x:c>
      <x:c r="D12" s="14" t="str">
        <x:v>resource_id</x:v>
      </x:c>
      <x:c r="E12" s="14" t="str">
        <x:v>direction_asset_mode</x:v>
      </x:c>
      <x:c r="F12" s="14" t="str">
        <x:v>is_default</x:v>
      </x:c>
      <x:c r="G12" s="14" t="str">
        <x:v>数据级别</x:v>
      </x:c>
      <x:c r="H12" s="14" t="str">
        <x:v>引用检查</x:v>
      </x:c>
      <x:c r="I12" s="14" t="str">
        <x:v>默认映射检查</x:v>
      </x:c>
      <x:c r="J12" s="67"/>
      <x:c r="K12" s="67"/>
      <x:c r="L12" s="67"/>
    </x:row>
    <x:row r="13">
      <x:c r="A13" s="33" t="n">
        <x:v>2001</x:v>
      </x:c>
      <x:c r="B13" s="33" t="str">
        <x:v>兔子</x:v>
      </x:c>
      <x:c r="C13" s="33" t="n">
        <x:v>1001</x:v>
      </x:c>
      <x:c r="D13" s="28" t="n">
        <x:v>300101</x:v>
      </x:c>
      <x:c r="E13" s="33" t="n">
        <x:v>1</x:v>
      </x:c>
      <x:c r="F13" s="47" t="b">
        <x:v>1</x:v>
      </x:c>
      <x:c r="G13" s="20" t="str">
        <x:v>资源ID为测试</x:v>
      </x:c>
      <x:c r="H13" s="23" t="str">
        <x:f>IF(COUNTIF($A$6:$A$8,C13)=1,"通过","无原型")</x:f>
        <x:v>通过</x:v>
      </x:c>
      <x:c r="I13" s="23" t="str">
        <x:f>IF(AND(F13=TRUE,COUNTIF($C$13:$C$15,C13)=1),"通过","检查")</x:f>
        <x:v>通过</x:v>
      </x:c>
      <x:c r="J13" s="67"/>
      <x:c r="K13" s="67"/>
      <x:c r="L13" s="67"/>
    </x:row>
    <x:row r="14">
      <x:c r="A14" s="48" t="n">
        <x:v>2002</x:v>
      </x:c>
      <x:c r="B14" s="48" t="str">
        <x:v>小鸭</x:v>
      </x:c>
      <x:c r="C14" s="48" t="n">
        <x:v>1002</x:v>
      </x:c>
      <x:c r="D14" s="29" t="n">
        <x:v>300102</x:v>
      </x:c>
      <x:c r="E14" s="48" t="n">
        <x:v>2</x:v>
      </x:c>
      <x:c r="F14" s="49" t="b">
        <x:v>1</x:v>
      </x:c>
      <x:c r="G14" s="21" t="str">
        <x:v>资源ID为测试</x:v>
      </x:c>
      <x:c r="H14" s="24" t="str">
        <x:f>IF(COUNTIF($A$6:$A$8,C14)=1,"通过","无原型")</x:f>
        <x:v>通过</x:v>
      </x:c>
      <x:c r="I14" s="24" t="str">
        <x:f>IF(AND(F14=TRUE,COUNTIF($C$13:$C$15,C14)=1),"通过","检查")</x:f>
        <x:v>通过</x:v>
      </x:c>
      <x:c r="J14" s="67"/>
      <x:c r="K14" s="67"/>
      <x:c r="L14" s="67"/>
    </x:row>
    <x:row r="15">
      <x:c r="A15" s="48" t="n">
        <x:v>2003</x:v>
      </x:c>
      <x:c r="B15" s="48" t="str">
        <x:v>大鲸鱼</x:v>
      </x:c>
      <x:c r="C15" s="48" t="n">
        <x:v>1003</x:v>
      </x:c>
      <x:c r="D15" s="29" t="n">
        <x:v>300103</x:v>
      </x:c>
      <x:c r="E15" s="48" t="n">
        <x:v>1</x:v>
      </x:c>
      <x:c r="F15" s="49" t="b">
        <x:v>1</x:v>
      </x:c>
      <x:c r="G15" s="21" t="str">
        <x:v>资源ID为测试</x:v>
      </x:c>
      <x:c r="H15" s="24" t="str">
        <x:f>IF(COUNTIF($A$6:$A$8,C15)=1,"通过","无原型")</x:f>
        <x:v>通过</x:v>
      </x:c>
      <x:c r="I15" s="24" t="str">
        <x:f>IF(AND(F15=TRUE,COUNTIF($C$13:$C$15,C15)=1),"通过","检查")</x:f>
        <x:v>通过</x:v>
      </x:c>
      <x:c r="J15" s="67"/>
      <x:c r="K15" s="67"/>
      <x:c r="L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</x:row>
    <x:row r="18" ht="23" customHeight="1">
      <x:c r="A18" s="68" t="str">
        <x:v>锁定规则</x:v>
      </x:c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</x:row>
    <x:row r="19">
      <x:c r="A19" s="65" t="str">
        <x:v>1. 每关无需堆叠过多玩具品类；同一功能原型在同一关只显示一种皮肤。</x:v>
      </x:c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</x:row>
    <x:row r="20">
      <x:c r="A20" s="65" t="str">
        <x:v>2. 兔子可换成玩具熊等皮肤，但占格、点击规则、离场规则必须保持普通长条原型定义。</x:v>
      </x:c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</x:row>
    <x:row r="21">
      <x:c r="A21" s="65" t="str">
        <x:v>3. 小鸭四周任一方向存在可达边缘缺口即可自动寻路，不使用面朝方向作为判定。</x:v>
      </x:c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</x:row>
    <x:row r="22">
      <x:c r="A22" s="65" t="str">
        <x:v>4. 关卡层只引用 archetype_id 与 skin_id，本表不维护具体关卡坐标。</x:v>
      </x:c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</x:row>
  </x:sheetData>
  <x:mergeCells>
    <x:mergeCell ref="A1:L1"/>
    <x:mergeCell ref="A2:L2"/>
    <x:mergeCell ref="A4:L4"/>
    <x:mergeCell ref="A11:L11"/>
    <x:mergeCell ref="A18:L18"/>
    <x:mergeCell ref="A19:L19"/>
    <x:mergeCell ref="A20:L20"/>
    <x:mergeCell ref="A21:L21"/>
    <x:mergeCell ref="A22:L22"/>
  </x:mergeCells>
  <x:dataValidations count="3">
    <x:dataValidation type="list" sqref="E6:E8">
      <x:formula1>"true,false"</x:formula1>
    </x:dataValidation>
    <x:dataValidation type="whole" operator="between" sqref="F6:H8">
      <x:formula1>0</x:formula1>
      <x:formula2>2</x:formula2>
    </x:dataValidation>
    <x:dataValidation type="list" sqref="F13:F15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c6ff91030074005"/>
    <x:tablePart xmlns:r="http://schemas.openxmlformats.org/officeDocument/2006/relationships" r:id="R2bec0a526b2f45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.3799991607666" hidden="0" customWidth="1"/>
    <x:col min="3" max="3" width="14.380000114440918" hidden="0" customWidth="1"/>
    <x:col min="4" max="4" width="13.130000114440918" hidden="0" customWidth="1"/>
    <x:col min="5" max="5" width="13.130000114440918" hidden="0" customWidth="1"/>
    <x:col min="6" max="6" width="10.630000114440918" hidden="0" customWidth="1"/>
    <x:col min="7" max="7" width="21.8799991607666" hidden="0" customWidth="1"/>
    <x:col min="8" max="8" width="15" hidden="0" customWidth="1"/>
    <x:col min="9" max="9" width="13.130000114440918" hidden="0" customWidth="1"/>
    <x:col min="10" max="10" width="11.25" hidden="0" customWidth="1"/>
    <x:col min="11" max="11" width="11.880000114440918" hidden="0" customWidth="1"/>
  </x:cols>
  <x:sheetData>
    <x:row r="1" ht="30" customHeight="1">
      <x:c r="A1" s="66" t="str">
        <x:v>受阻与撞击反馈｜gameplay_feedback_cfg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30" customHeight="1">
      <x:c r="A2" s="7" t="str">
        <x:v>撞击发生时立即在主动玩具与被撞玩具上同步播放反馈；遇边界或阻挡停下也播放主动对象撞击反馈。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 ht="23" customHeight="1">
      <x:c r="A4" s="68" t="str">
        <x:v>反馈事件配置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</x:row>
    <x:row r="5">
      <x:c r="A5" s="14" t="str">
        <x:v>feedback_id</x:v>
      </x:c>
      <x:c r="B5" s="14" t="str">
        <x:v>feedback_name</x:v>
      </x:c>
      <x:c r="C5" s="14" t="str">
        <x:v>event_type</x:v>
      </x:c>
      <x:c r="D5" s="14" t="str">
        <x:v>target_scope</x:v>
      </x:c>
      <x:c r="E5" s="14" t="str">
        <x:v>delay_ms</x:v>
      </x:c>
      <x:c r="F5" s="14" t="str">
        <x:v>duration_ms</x:v>
      </x:c>
      <x:c r="G5" s="14" t="str">
        <x:v>parallel_allowed</x:v>
      </x:c>
      <x:c r="H5" s="14" t="str">
        <x:v>resource_id</x:v>
      </x:c>
      <x:c r="I5" s="14" t="str">
        <x:v>数据级别</x:v>
      </x:c>
      <x:c r="J5" s="14" t="str">
        <x:v>唯一性</x:v>
      </x:c>
      <x:c r="K5" s="14" t="str">
        <x:v>规则检查</x:v>
      </x:c>
    </x:row>
    <x:row r="6">
      <x:c r="A6" s="33" t="n">
        <x:v>4001</x:v>
      </x:c>
      <x:c r="B6" s="33" t="str">
        <x:v>玩具撞击</x:v>
      </x:c>
      <x:c r="C6" s="33" t="n">
        <x:v>1</x:v>
      </x:c>
      <x:c r="D6" s="33" t="n">
        <x:v>3</x:v>
      </x:c>
      <x:c r="E6" s="34" t="n">
        <x:v>0</x:v>
      </x:c>
      <x:c r="F6" s="36" t="n">
        <x:v>180</x:v>
      </x:c>
      <x:c r="G6" s="47" t="b">
        <x:v>1</x:v>
      </x:c>
      <x:c r="H6" s="33" t="n">
        <x:v>0</x:v>
      </x:c>
      <x:c r="I6" s="20" t="str">
        <x:v>时长测试</x:v>
      </x:c>
      <x:c r="J6" s="23" t="str">
        <x:f>IF(COUNTIF($A$6:$A$10,A6)=1,"通过","重复")</x:f>
        <x:v>通过</x:v>
      </x:c>
      <x:c r="K6" s="23" t="str">
        <x:f>IF(AND(E6=0,F6&gt;=0),"通过","失败")</x:f>
        <x:v>通过</x:v>
      </x:c>
    </x:row>
    <x:row r="7">
      <x:c r="A7" s="48" t="n">
        <x:v>4002</x:v>
      </x:c>
      <x:c r="B7" s="48" t="str">
        <x:v>小鸭自动离场</x:v>
      </x:c>
      <x:c r="C7" s="48" t="n">
        <x:v>2</x:v>
      </x:c>
      <x:c r="D7" s="48" t="n">
        <x:v>1</x:v>
      </x:c>
      <x:c r="E7" s="50" t="n">
        <x:v>0</x:v>
      </x:c>
      <x:c r="F7" s="51" t="n">
        <x:v>0</x:v>
      </x:c>
      <x:c r="G7" s="49" t="b">
        <x:v>1</x:v>
      </x:c>
      <x:c r="H7" s="48" t="n">
        <x:v>0</x:v>
      </x:c>
      <x:c r="I7" s="21" t="str">
        <x:v>路径驱动</x:v>
      </x:c>
      <x:c r="J7" s="24" t="str">
        <x:f>IF(COUNTIF($A$6:$A$10,A7)=1,"通过","重复")</x:f>
        <x:v>通过</x:v>
      </x:c>
      <x:c r="K7" s="24" t="str">
        <x:f>IF(AND(E7=0,F7&gt;=0),"通过","失败")</x:f>
        <x:v>通过</x:v>
      </x:c>
    </x:row>
    <x:row r="8">
      <x:c r="A8" s="48" t="n">
        <x:v>4003</x:v>
      </x:c>
      <x:c r="B8" s="48" t="str">
        <x:v>提示目标强调</x:v>
      </x:c>
      <x:c r="C8" s="48" t="n">
        <x:v>3</x:v>
      </x:c>
      <x:c r="D8" s="48" t="n">
        <x:v>1</x:v>
      </x:c>
      <x:c r="E8" s="50" t="n">
        <x:v>0</x:v>
      </x:c>
      <x:c r="F8" s="51" t="n">
        <x:v>1200</x:v>
      </x:c>
      <x:c r="G8" s="49" t="b">
        <x:v>0</x:v>
      </x:c>
      <x:c r="H8" s="48" t="n">
        <x:v>0</x:v>
      </x:c>
      <x:c r="I8" s="21" t="str">
        <x:v>时长测试</x:v>
      </x:c>
      <x:c r="J8" s="24" t="str">
        <x:f>IF(COUNTIF($A$6:$A$10,A8)=1,"通过","重复")</x:f>
        <x:v>通过</x:v>
      </x:c>
      <x:c r="K8" s="24" t="str">
        <x:f>IF(AND(E8=0,F8&gt;=0),"通过","失败")</x:f>
        <x:v>通过</x:v>
      </x:c>
    </x:row>
    <x:row r="9">
      <x:c r="A9" s="48" t="n">
        <x:v>4004</x:v>
      </x:c>
      <x:c r="B9" s="48" t="str">
        <x:v>连击刷新</x:v>
      </x:c>
      <x:c r="C9" s="48" t="n">
        <x:v>4</x:v>
      </x:c>
      <x:c r="D9" s="48" t="n">
        <x:v>4</x:v>
      </x:c>
      <x:c r="E9" s="50" t="n">
        <x:v>0</x:v>
      </x:c>
      <x:c r="F9" s="51" t="n">
        <x:v>160</x:v>
      </x:c>
      <x:c r="G9" s="49" t="b">
        <x:v>1</x:v>
      </x:c>
      <x:c r="H9" s="48" t="n">
        <x:v>0</x:v>
      </x:c>
      <x:c r="I9" s="21" t="str">
        <x:v>时长测试</x:v>
      </x:c>
      <x:c r="J9" s="24" t="str">
        <x:f>IF(COUNTIF($A$6:$A$10,A9)=1,"通过","重复")</x:f>
        <x:v>通过</x:v>
      </x:c>
      <x:c r="K9" s="24" t="str">
        <x:f>IF(AND(E9=0,F9&gt;=0),"通过","失败")</x:f>
        <x:v>通过</x:v>
      </x:c>
    </x:row>
    <x:row r="10">
      <x:c r="A10" s="48" t="n">
        <x:v>4005</x:v>
      </x:c>
      <x:c r="B10" s="48" t="str">
        <x:v>普通关完成</x:v>
      </x:c>
      <x:c r="C10" s="48" t="n">
        <x:v>5</x:v>
      </x:c>
      <x:c r="D10" s="48" t="n">
        <x:v>4</x:v>
      </x:c>
      <x:c r="E10" s="50" t="n">
        <x:v>0</x:v>
      </x:c>
      <x:c r="F10" s="51" t="n">
        <x:v>800</x:v>
      </x:c>
      <x:c r="G10" s="49" t="b">
        <x:v>0</x:v>
      </x:c>
      <x:c r="H10" s="48" t="n">
        <x:v>0</x:v>
      </x:c>
      <x:c r="I10" s="21" t="str">
        <x:v>时长测试</x:v>
      </x:c>
      <x:c r="J10" s="24" t="str">
        <x:f>IF(COUNTIF($A$6:$A$10,A10)=1,"通过","重复")</x:f>
        <x:v>通过</x:v>
      </x:c>
      <x:c r="K10" s="24" t="str">
        <x:f>IF(AND(E10=0,F10&gt;=0),"通过","失败")</x:f>
        <x:v>通过</x:v>
      </x:c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</x:row>
    <x:row r="13" ht="23" customHeight="1">
      <x:c r="A13" s="68" t="str">
        <x:v>受阻判定情景</x:v>
      </x:c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</x:row>
    <x:row r="14">
      <x:c r="A14" s="14" t="str">
        <x:v>情景</x:v>
      </x:c>
      <x:c r="B14" s="14" t="str">
        <x:v>主动对象移动</x:v>
      </x:c>
      <x:c r="C14" s="14" t="str">
        <x:v>阻挡对象</x:v>
      </x:c>
      <x:c r="D14" s="14" t="str">
        <x:v>主动反馈</x:v>
      </x:c>
      <x:c r="E14" s="14" t="str">
        <x:v>被撞反馈</x:v>
      </x:c>
      <x:c r="F14" s="14" t="str">
        <x:v>延时</x:v>
      </x:c>
      <x:c r="G14" s="14" t="str">
        <x:v>占格更新</x:v>
      </x:c>
      <x:c r="H14" s="14" t="str">
        <x:v>验收</x:v>
      </x:c>
      <x:c r="I14" s="67"/>
      <x:c r="J14" s="67"/>
      <x:c r="K14" s="67"/>
    </x:row>
    <x:row r="15">
      <x:c r="A15" s="20" t="str">
        <x:v>撞到另一玩具</x:v>
      </x:c>
      <x:c r="B15" s="20" t="str">
        <x:v>移动到接触前停下</x:v>
      </x:c>
      <x:c r="C15" s="20" t="str">
        <x:v>兔/鸭/鲸任一</x:v>
      </x:c>
      <x:c r="D15" s="20" t="str">
        <x:v>立即</x:v>
      </x:c>
      <x:c r="E15" s="20" t="str">
        <x:v>立即</x:v>
      </x:c>
      <x:c r="F15" s="20" t="str">
        <x:v>0ms</x:v>
      </x:c>
      <x:c r="G15" s="20" t="str">
        <x:v>按停下位置更新</x:v>
      </x:c>
      <x:c r="H15" s="23" t="str">
        <x:v>通过</x:v>
      </x:c>
      <x:c r="I15" s="67"/>
      <x:c r="J15" s="67"/>
      <x:c r="K15" s="67"/>
    </x:row>
    <x:row r="16">
      <x:c r="A16" s="21" t="str">
        <x:v>遇盘面边界</x:v>
      </x:c>
      <x:c r="B16" s="21" t="str">
        <x:v>移动到边界前停下</x:v>
      </x:c>
      <x:c r="C16" s="21" t="str">
        <x:v>边界</x:v>
      </x:c>
      <x:c r="D16" s="21" t="str">
        <x:v>立即</x:v>
      </x:c>
      <x:c r="E16" s="21" t="str">
        <x:v>不适用</x:v>
      </x:c>
      <x:c r="F16" s="21" t="str">
        <x:v>0ms</x:v>
      </x:c>
      <x:c r="G16" s="21" t="str">
        <x:v>按停下位置更新</x:v>
      </x:c>
      <x:c r="H16" s="24" t="str">
        <x:v>通过</x:v>
      </x:c>
      <x:c r="I16" s="67"/>
      <x:c r="J16" s="67"/>
      <x:c r="K16" s="67"/>
    </x:row>
    <x:row r="17">
      <x:c r="A17" s="21" t="str">
        <x:v>路径全被占用</x:v>
      </x:c>
      <x:c r="B17" s="21" t="str">
        <x:v>无法位移</x:v>
      </x:c>
      <x:c r="C17" s="21" t="str">
        <x:v>另一玩具</x:v>
      </x:c>
      <x:c r="D17" s="21" t="str">
        <x:v>立即</x:v>
      </x:c>
      <x:c r="E17" s="21" t="str">
        <x:v>立即</x:v>
      </x:c>
      <x:c r="F17" s="21" t="str">
        <x:v>0ms</x:v>
      </x:c>
      <x:c r="G17" s="21" t="str">
        <x:v>保持原占格</x:v>
      </x:c>
      <x:c r="H17" s="24" t="str">
        <x:v>通过</x:v>
      </x:c>
      <x:c r="I17" s="67"/>
      <x:c r="J17" s="67"/>
      <x:c r="K17" s="67"/>
    </x:row>
    <x:row r="18">
      <x:c r="A18" s="21" t="str">
        <x:v>撞击期间点击别处</x:v>
      </x:c>
      <x:c r="B18" s="21" t="str">
        <x:v>本对象反馈中</x:v>
      </x:c>
      <x:c r="C18" s="21" t="str">
        <x:v>无</x:v>
      </x:c>
      <x:c r="D18" s="21" t="str">
        <x:v>继续播放</x:v>
      </x:c>
      <x:c r="E18" s="21" t="str">
        <x:v>继续播放</x:v>
      </x:c>
      <x:c r="F18" s="21" t="str">
        <x:v>0ms</x:v>
      </x:c>
      <x:c r="G18" s="21" t="str">
        <x:v>允许别的待机玩具响应</x:v>
      </x:c>
      <x:c r="H18" s="24" t="str">
        <x:v>通过</x:v>
      </x:c>
      <x:c r="I18" s="67"/>
      <x:c r="J18" s="67"/>
      <x:c r="K18" s="67"/>
    </x:row>
  </x:sheetData>
  <x:mergeCells>
    <x:mergeCell ref="A1:K1"/>
    <x:mergeCell ref="A2:K2"/>
    <x:mergeCell ref="A4:K4"/>
    <x:mergeCell ref="A13:K13"/>
  </x:mergeCells>
  <x:dataValidations count="1">
    <x:dataValidation type="list" sqref="G6:G1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1da25700e749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2.5" hidden="0" customWidth="1"/>
    <x:col min="3" max="3" width="12.5" hidden="0" customWidth="1"/>
    <x:col min="4" max="4" width="11.25" hidden="0" customWidth="1"/>
    <x:col min="5" max="5" width="11.880000114440918" hidden="0" customWidth="1"/>
    <x:col min="6" max="6" width="11.880000114440918" hidden="0" customWidth="1"/>
    <x:col min="7" max="7" width="14.380000114440918" hidden="0" customWidth="1"/>
    <x:col min="8" max="8" width="14.380000114440918" hidden="0" customWidth="1"/>
    <x:col min="9" max="9" width="12.5" hidden="0" customWidth="1"/>
    <x:col min="10" max="10" width="12.5" hidden="0" customWidth="1"/>
    <x:col min="11" max="11" width="22.5" hidden="0" customWidth="1"/>
  </x:cols>
  <x:sheetData>
    <x:row r="1" ht="30" customHeight="1">
      <x:c r="A1" s="66" t="str">
        <x:v>小鸭自动离场｜逐轮扫描场景模拟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30" customHeight="1">
      <x:c r="A2" s="7" t="str">
        <x:v>每次占格变化后立即逐轮扫描；每只鸭分别增加 Combo，动画可并行，逻辑结算完成后恢复输入。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 ht="23" customHeight="1">
      <x:c r="A4" s="68" t="str">
        <x:v>场景输入与结果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</x:row>
    <x:row r="5">
      <x:c r="A5" s="14" t="str">
        <x:v>场景</x:v>
      </x:c>
      <x:c r="B5" s="14" t="str">
        <x:v>初始玩具数</x:v>
      </x:c>
      <x:c r="C5" s="14" t="str">
        <x:v>手动离场数</x:v>
      </x:c>
      <x:c r="D5" s="14" t="str">
        <x:v>第1轮鸭</x:v>
      </x:c>
      <x:c r="E5" s="14" t="str">
        <x:v>第2轮鸭</x:v>
      </x:c>
      <x:c r="F5" s="14" t="str">
        <x:v>第3轮鸭</x:v>
      </x:c>
      <x:c r="G5" s="14" t="str">
        <x:v>自动离场合计</x:v>
      </x:c>
      <x:c r="H5" s="14" t="str">
        <x:v>有效离场合计</x:v>
      </x:c>
      <x:c r="I5" s="14" t="str">
        <x:v>剩余玩具</x:v>
      </x:c>
      <x:c r="J5" s="14" t="str">
        <x:v>是否完成</x:v>
      </x:c>
      <x:c r="K5" s="14" t="str">
        <x:v>输入恢复条件</x:v>
      </x:c>
    </x:row>
    <x:row r="6">
      <x:c r="A6" s="33" t="str">
        <x:v>基准：两轮连锁</x:v>
      </x:c>
      <x:c r="B6" s="35" t="n">
        <x:v>10</x:v>
      </x:c>
      <x:c r="C6" s="35" t="n">
        <x:v>1</x:v>
      </x:c>
      <x:c r="D6" s="35" t="n">
        <x:v>2</x:v>
      </x:c>
      <x:c r="E6" s="35" t="n">
        <x:v>1</x:v>
      </x:c>
      <x:c r="F6" s="35" t="n">
        <x:v>0</x:v>
      </x:c>
      <x:c r="G6" s="52" t="n">
        <x:f>SUM(D6:F6)</x:f>
        <x:v>3</x:v>
      </x:c>
      <x:c r="H6" s="52" t="n">
        <x:f>C6+G6</x:f>
        <x:v>4</x:v>
      </x:c>
      <x:c r="I6" s="52" t="n">
        <x:f>B6-H6</x:f>
        <x:v>6</x:v>
      </x:c>
      <x:c r="J6" s="23" t="str">
        <x:f>IF(I6=0,"完成",IF(I6&gt;0,"继续","输入错误"))</x:f>
        <x:v>继续</x:v>
      </x:c>
      <x:c r="K6" s="20" t="str">
        <x:v>逻辑无新鸭可离场</x:v>
      </x:c>
    </x:row>
    <x:row r="7">
      <x:c r="A7" s="48" t="str">
        <x:v>边界：最后一轮清盘</x:v>
      </x:c>
      <x:c r="B7" s="53" t="n">
        <x:v>4</x:v>
      </x:c>
      <x:c r="C7" s="53" t="n">
        <x:v>1</x:v>
      </x:c>
      <x:c r="D7" s="53" t="n">
        <x:v>2</x:v>
      </x:c>
      <x:c r="E7" s="53" t="n">
        <x:v>1</x:v>
      </x:c>
      <x:c r="F7" s="53" t="n">
        <x:v>0</x:v>
      </x:c>
      <x:c r="G7" s="54" t="n">
        <x:f>SUM(D7:F7)</x:f>
        <x:v>3</x:v>
      </x:c>
      <x:c r="H7" s="54" t="n">
        <x:f>C7+G7</x:f>
        <x:v>4</x:v>
      </x:c>
      <x:c r="I7" s="54" t="n">
        <x:f>B7-H7</x:f>
        <x:v>0</x:v>
      </x:c>
      <x:c r="J7" s="24" t="str">
        <x:f>IF(I7=0,"完成",IF(I7&gt;0,"继续","输入错误"))</x:f>
        <x:v>完成</x:v>
      </x:c>
      <x:c r="K7" s="21" t="str">
        <x:v>逻辑无新鸭可离场</x:v>
      </x:c>
    </x:row>
    <x:row r="8">
      <x:c r="A8" s="48" t="str">
        <x:v>高风险：三轮密集连锁</x:v>
      </x:c>
      <x:c r="B8" s="53" t="n">
        <x:v>8</x:v>
      </x:c>
      <x:c r="C8" s="53" t="n">
        <x:v>1</x:v>
      </x:c>
      <x:c r="D8" s="53" t="n">
        <x:v>3</x:v>
      </x:c>
      <x:c r="E8" s="53" t="n">
        <x:v>2</x:v>
      </x:c>
      <x:c r="F8" s="53" t="n">
        <x:v>1</x:v>
      </x:c>
      <x:c r="G8" s="54" t="n">
        <x:f>SUM(D8:F8)</x:f>
        <x:v>6</x:v>
      </x:c>
      <x:c r="H8" s="54" t="n">
        <x:f>C8+G8</x:f>
        <x:v>7</x:v>
      </x:c>
      <x:c r="I8" s="54" t="n">
        <x:f>B8-H8</x:f>
        <x:v>1</x:v>
      </x:c>
      <x:c r="J8" s="24" t="str">
        <x:f>IF(I8=0,"完成",IF(I8&gt;0,"继续","输入错误"))</x:f>
        <x:v>继续</x:v>
      </x:c>
      <x:c r="K8" s="21" t="str">
        <x:v>逻辑无新鸭可离场</x:v>
      </x:c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</x:row>
    <x:row r="11" ht="23" customHeight="1">
      <x:c r="A11" s="68" t="str">
        <x:v>逐轮结算顺序</x:v>
      </x:c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</x:row>
    <x:row r="12">
      <x:c r="A12" s="14" t="str">
        <x:v>步骤</x:v>
      </x:c>
      <x:c r="B12" s="14" t="str">
        <x:v>触发/动作</x:v>
      </x:c>
      <x:c r="C12" s="14" t="str">
        <x:v>盘面占格</x:v>
      </x:c>
      <x:c r="D12" s="14" t="str">
        <x:v>Combo</x:v>
      </x:c>
      <x:c r="E12" s="14" t="str">
        <x:v>动画</x:v>
      </x:c>
      <x:c r="F12" s="14" t="str">
        <x:v>输入</x:v>
      </x:c>
      <x:c r="G12" s="14" t="str">
        <x:v>下一步</x:v>
      </x:c>
      <x:c r="H12" s="14" t="str">
        <x:v>锁定结论</x:v>
      </x:c>
      <x:c r="I12" s="67"/>
      <x:c r="J12" s="67"/>
      <x:c r="K12" s="67"/>
    </x:row>
    <x:row r="13">
      <x:c r="A13" s="20" t="n">
        <x:v>1</x:v>
      </x:c>
      <x:c r="B13" s="20" t="str">
        <x:v>盘面展示或占格变化</x:v>
      </x:c>
      <x:c r="C13" s="20" t="str">
        <x:v>读取当前状态</x:v>
      </x:c>
      <x:c r="D13" s="20" t="str">
        <x:v>不变</x:v>
      </x:c>
      <x:c r="E13" s="20" t="str">
        <x:v>无</x:v>
      </x:c>
      <x:c r="F13" s="20" t="str">
        <x:v>锁定</x:v>
      </x:c>
      <x:c r="G13" s="20" t="str">
        <x:v>扫描全部待机鸭</x:v>
      </x:c>
      <x:c r="H13" s="23" t="str">
        <x:v>通过</x:v>
      </x:c>
      <x:c r="I13" s="67"/>
      <x:c r="J13" s="67"/>
      <x:c r="K13" s="67"/>
    </x:row>
    <x:row r="14">
      <x:c r="A14" s="21" t="n">
        <x:v>2</x:v>
      </x:c>
      <x:c r="B14" s="21" t="str">
        <x:v>四方向可达搜索</x:v>
      </x:c>
      <x:c r="C14" s="21" t="str">
        <x:v>不变</x:v>
      </x:c>
      <x:c r="D14" s="21" t="str">
        <x:v>不变</x:v>
      </x:c>
      <x:c r="E14" s="21" t="str">
        <x:v>无</x:v>
      </x:c>
      <x:c r="F14" s="21" t="str">
        <x:v>锁定</x:v>
      </x:c>
      <x:c r="G14" s="21" t="str">
        <x:v>生成本轮队列</x:v>
      </x:c>
      <x:c r="H14" s="24" t="str">
        <x:v>通过</x:v>
      </x:c>
      <x:c r="I14" s="67"/>
      <x:c r="J14" s="67"/>
      <x:c r="K14" s="67"/>
    </x:row>
    <x:row r="15">
      <x:c r="A15" s="21" t="n">
        <x:v>3</x:v>
      </x:c>
      <x:c r="B15" s="21" t="str">
        <x:v>本轮逐只逻辑离场</x:v>
      </x:c>
      <x:c r="C15" s="21" t="str">
        <x:v>逐只立即释放</x:v>
      </x:c>
      <x:c r="D15" s="21" t="str">
        <x:v>每只+1并刷新</x:v>
      </x:c>
      <x:c r="E15" s="21" t="str">
        <x:v>允许并行</x:v>
      </x:c>
      <x:c r="F15" s="21" t="str">
        <x:v>锁定</x:v>
      </x:c>
      <x:c r="G15" s="21" t="str">
        <x:v>剩余玩具减1</x:v>
      </x:c>
      <x:c r="H15" s="24" t="str">
        <x:v>通过</x:v>
      </x:c>
      <x:c r="I15" s="67"/>
      <x:c r="J15" s="67"/>
      <x:c r="K15" s="67"/>
    </x:row>
    <x:row r="16">
      <x:c r="A16" s="21" t="n">
        <x:v>4</x:v>
      </x:c>
      <x:c r="B16" s="21" t="str">
        <x:v>本轮全部逻辑结算</x:v>
      </x:c>
      <x:c r="C16" s="21" t="str">
        <x:v>使用新状态</x:v>
      </x:c>
      <x:c r="D16" s="21" t="str">
        <x:v>保留</x:v>
      </x:c>
      <x:c r="E16" s="21" t="str">
        <x:v>可继续播放</x:v>
      </x:c>
      <x:c r="F16" s="21" t="str">
        <x:v>锁定</x:v>
      </x:c>
      <x:c r="G16" s="21" t="str">
        <x:v>再次扫描</x:v>
      </x:c>
      <x:c r="H16" s="24" t="str">
        <x:v>通过</x:v>
      </x:c>
      <x:c r="I16" s="67"/>
      <x:c r="J16" s="67"/>
      <x:c r="K16" s="67"/>
    </x:row>
    <x:row r="17">
      <x:c r="A17" s="21" t="n">
        <x:v>5</x:v>
      </x:c>
      <x:c r="B17" s="21" t="str">
        <x:v>队列为空</x:v>
      </x:c>
      <x:c r="C17" s="21" t="str">
        <x:v>最终状态</x:v>
      </x:c>
      <x:c r="D17" s="21" t="str">
        <x:v>保留</x:v>
      </x:c>
      <x:c r="E17" s="21" t="str">
        <x:v>未完动画可继续</x:v>
      </x:c>
      <x:c r="F17" s="21" t="str">
        <x:v>恢复</x:v>
      </x:c>
      <x:c r="G17" s="21" t="str">
        <x:v>接受玩家输入</x:v>
      </x:c>
      <x:c r="H17" s="24" t="str">
        <x:v>通过</x:v>
      </x:c>
      <x:c r="I17" s="67"/>
      <x:c r="J17" s="67"/>
      <x:c r="K17" s="67"/>
    </x:row>
    <x:row r="18">
      <x:c r="A18" s="21" t="n">
        <x:v>6</x:v>
      </x:c>
      <x:c r="B18" s="21" t="str">
        <x:v>剩余玩具为0</x:v>
      </x:c>
      <x:c r="C18" s="21" t="str">
        <x:v>空盘</x:v>
      </x:c>
      <x:c r="D18" s="21" t="str">
        <x:v>保留</x:v>
      </x:c>
      <x:c r="E18" s="21" t="str">
        <x:v>完成反馈</x:v>
      </x:c>
      <x:c r="F18" s="21" t="str">
        <x:v>锁定</x:v>
      </x:c>
      <x:c r="G18" s="21" t="str">
        <x:v>普通关完成或夜终关</x:v>
      </x:c>
      <x:c r="H18" s="24" t="str">
        <x:v>通过</x:v>
      </x:c>
      <x:c r="I18" s="67"/>
      <x:c r="J18" s="67"/>
      <x:c r="K18" s="67"/>
    </x:row>
    <x:row r="19">
      <x:c r="A19" s="21" t="n">
        <x:v>7</x:v>
      </x:c>
      <x:c r="B19" s="21" t="str">
        <x:v>同轮3只鸭</x:v>
      </x:c>
      <x:c r="C19" s="21" t="str">
        <x:v>逐只释放</x:v>
      </x:c>
      <x:c r="D19" s="21" t="str">
        <x:v>合计+3</x:v>
      </x:c>
      <x:c r="E19" s="21" t="str">
        <x:v>可同时运动</x:v>
      </x:c>
      <x:c r="F19" s="21" t="str">
        <x:v>锁定</x:v>
      </x:c>
      <x:c r="G19" s="21" t="str">
        <x:v>下一轮</x:v>
      </x:c>
      <x:c r="H19" s="24" t="str">
        <x:v>通过</x:v>
      </x:c>
      <x:c r="I19" s="67"/>
      <x:c r="J19" s="67"/>
      <x:c r="K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 ht="23" customHeight="1">
      <x:c r="A22" s="68" t="str">
        <x:v>路径资格边界</x:v>
      </x:c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</x:row>
    <x:row r="23">
      <x:c r="A23" s="14" t="str">
        <x:v>案例</x:v>
      </x:c>
      <x:c r="B23" s="14" t="str">
        <x:v>四方向空格可达边缘</x:v>
      </x:c>
      <x:c r="C23" s="14" t="str">
        <x:v>只看面朝方向</x:v>
      </x:c>
      <x:c r="D23" s="14" t="str">
        <x:v>路径长度</x:v>
      </x:c>
      <x:c r="E23" s="14" t="str">
        <x:v>资格</x:v>
      </x:c>
      <x:c r="F23" s="14" t="str">
        <x:v>说明</x:v>
      </x:c>
      <x:c r="G23" s="67"/>
      <x:c r="H23" s="67"/>
      <x:c r="I23" s="67"/>
      <x:c r="J23" s="67"/>
      <x:c r="K23" s="67"/>
    </x:row>
    <x:row r="24">
      <x:c r="A24" s="20" t="str">
        <x:v>鸭贴边缘缺口</x:v>
      </x:c>
      <x:c r="B24" s="45" t="b">
        <x:v>1</x:v>
      </x:c>
      <x:c r="C24" s="45" t="b">
        <x:v>0</x:v>
      </x:c>
      <x:c r="D24" s="20" t="n">
        <x:v>0</x:v>
      </x:c>
      <x:c r="E24" s="23" t="str">
        <x:v>可离场</x:v>
      </x:c>
      <x:c r="F24" s="20" t="str">
        <x:v>允许路径长度0</x:v>
      </x:c>
      <x:c r="G24" s="67"/>
      <x:c r="H24" s="67"/>
      <x:c r="I24" s="67"/>
      <x:c r="J24" s="67"/>
      <x:c r="K24" s="67"/>
    </x:row>
    <x:row r="25">
      <x:c r="A25" s="21" t="str">
        <x:v>侧后方存在缺口</x:v>
      </x:c>
      <x:c r="B25" s="46" t="b">
        <x:v>1</x:v>
      </x:c>
      <x:c r="C25" s="46" t="b">
        <x:v>0</x:v>
      </x:c>
      <x:c r="D25" s="21" t="n">
        <x:v>3</x:v>
      </x:c>
      <x:c r="E25" s="24" t="str">
        <x:v>可离场</x:v>
      </x:c>
      <x:c r="F25" s="21" t="str">
        <x:v>朝向不参与判定</x:v>
      </x:c>
      <x:c r="G25" s="67"/>
      <x:c r="H25" s="67"/>
      <x:c r="I25" s="67"/>
      <x:c r="J25" s="67"/>
      <x:c r="K25" s="67"/>
    </x:row>
    <x:row r="26">
      <x:c r="A26" s="21" t="str">
        <x:v>仅斜对角空格</x:v>
      </x:c>
      <x:c r="B26" s="46" t="b">
        <x:v>0</x:v>
      </x:c>
      <x:c r="C26" s="46" t="b">
        <x:v>0</x:v>
      </x:c>
      <x:c r="D26" s="21" t="n">
        <x:v>1</x:v>
      </x:c>
      <x:c r="E26" s="24" t="str">
        <x:v>不可离场</x:v>
      </x:c>
      <x:c r="F26" s="21" t="str">
        <x:v>不允许对角移动</x:v>
      </x:c>
      <x:c r="G26" s="67"/>
      <x:c r="H26" s="67"/>
      <x:c r="I26" s="67"/>
      <x:c r="J26" s="67"/>
      <x:c r="K26" s="67"/>
    </x:row>
    <x:row r="27">
      <x:c r="A27" s="21" t="str">
        <x:v>另一鸭挡路</x:v>
      </x:c>
      <x:c r="B27" s="46" t="b">
        <x:v>0</x:v>
      </x:c>
      <x:c r="C27" s="46" t="b">
        <x:v>0</x:v>
      </x:c>
      <x:c r="D27" s="21" t="n">
        <x:v>2</x:v>
      </x:c>
      <x:c r="E27" s="24" t="str">
        <x:v>本轮不可</x:v>
      </x:c>
      <x:c r="F27" s="21" t="str">
        <x:v>占格变化后下一轮重新扫描</x:v>
      </x:c>
      <x:c r="G27" s="67"/>
      <x:c r="H27" s="67"/>
      <x:c r="I27" s="67"/>
      <x:c r="J27" s="67"/>
      <x:c r="K27" s="67"/>
    </x:row>
  </x:sheetData>
  <x:mergeCells>
    <x:mergeCell ref="A1:K1"/>
    <x:mergeCell ref="A2:K2"/>
    <x:mergeCell ref="A4:K4"/>
    <x:mergeCell ref="A11:K11"/>
    <x:mergeCell ref="A22:K22"/>
  </x:mergeCells>
  <x:pageMargins left="0.7" right="0.7" top="0.75" bottom="0.75" header="0.3" footer="0.3"/>
  <x:tableParts count="1">
    <x:tablePart xmlns:r="http://schemas.openxmlformats.org/officeDocument/2006/relationships" r:id="R506a54bbbd2a4e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8.130000114440918" hidden="0" customWidth="1"/>
    <x:col min="3" max="3" width="15.630000114440918" hidden="0" customWidth="1"/>
    <x:col min="4" max="4" width="11.25" hidden="0" customWidth="1"/>
    <x:col min="5" max="5" width="13.75" hidden="0" customWidth="1"/>
    <x:col min="6" max="6" width="13.130000114440918" hidden="0" customWidth="1"/>
    <x:col min="7" max="7" width="12.5" hidden="0" customWidth="1"/>
    <x:col min="8" max="8" width="16.8799991607666" hidden="0" customWidth="1"/>
    <x:col min="9" max="9" width="11.880000114440918" hidden="0" customWidth="1"/>
    <x:col min="10" max="10" width="10.630000114440918" hidden="0" customWidth="1"/>
  </x:cols>
  <x:sheetData>
    <x:row r="1" ht="30" customHeight="1">
      <x:c r="A1" s="66" t="str">
        <x:v>连击｜8.000 秒严格边界验算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0" customHeight="1">
      <x:c r="A2" s="7" t="str">
        <x:v>下一只有效离场必须发生在倒计时归零前；恰好达到 8.000 秒视为旧 Combo 已中断。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</x:row>
    <x:row r="4" ht="23" customHeight="1">
      <x:c r="A4" s="68" t="str">
        <x:v>共享参数</x:v>
      </x:c>
      <x:c r="B4" s="68"/>
      <x:c r="C4" s="68"/>
      <x:c r="D4" s="68"/>
      <x:c r="E4" s="68"/>
      <x:c r="F4" s="68"/>
      <x:c r="G4" s="68"/>
      <x:c r="H4" s="68"/>
      <x:c r="I4" s="68"/>
      <x:c r="J4" s="68"/>
    </x:row>
    <x:row r="5">
      <x:c r="A5" s="14" t="str">
        <x:v>参数</x:v>
      </x:c>
      <x:c r="B5" s="14" t="str">
        <x:v>毫秒</x:v>
      </x:c>
      <x:c r="C5" s="14" t="str">
        <x:v>秒</x:v>
      </x:c>
      <x:c r="D5" s="14" t="str">
        <x:v>规则</x:v>
      </x:c>
      <x:c r="E5" s="67"/>
      <x:c r="F5" s="67"/>
      <x:c r="G5" s="67"/>
      <x:c r="H5" s="67"/>
      <x:c r="I5" s="67"/>
      <x:c r="J5" s="67"/>
    </x:row>
    <x:row r="6">
      <x:c r="A6" s="20" t="str">
        <x:v>Combo超时</x:v>
      </x:c>
      <x:c r="B6" s="37" t="n">
        <x:f>'单局盘面与输入'!B6</x:f>
        <x:v>8000</x:v>
      </x:c>
      <x:c r="C6" s="55" t="n">
        <x:f>B6/1000</x:f>
        <x:v>8</x:v>
      </x:c>
      <x:c r="D6" s="20" t="str">
        <x:v>间隔 &lt; 超时才延续</x:v>
      </x:c>
      <x:c r="E6" s="67"/>
      <x:c r="F6" s="67"/>
      <x:c r="G6" s="67"/>
      <x:c r="H6" s="67"/>
      <x:c r="I6" s="67"/>
      <x:c r="J6" s="67"/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</x:row>
    <x:row r="8" ht="23" customHeight="1">
      <x:c r="A8" s="68" t="str">
        <x:v>事件时间线验算</x:v>
      </x:c>
      <x:c r="B8" s="68"/>
      <x:c r="C8" s="68"/>
      <x:c r="D8" s="68"/>
      <x:c r="E8" s="68"/>
      <x:c r="F8" s="68"/>
      <x:c r="G8" s="68"/>
      <x:c r="H8" s="68"/>
      <x:c r="I8" s="68"/>
      <x:c r="J8" s="68"/>
    </x:row>
    <x:row r="9">
      <x:c r="A9" s="14" t="str">
        <x:v>场景</x:v>
      </x:c>
      <x:c r="B9" s="14" t="str">
        <x:v>序号</x:v>
      </x:c>
      <x:c r="C9" s="14" t="str">
        <x:v>有效离场时刻(s)</x:v>
      </x:c>
      <x:c r="D9" s="14" t="str">
        <x:v>玩具</x:v>
      </x:c>
      <x:c r="E9" s="14" t="str">
        <x:v>与上一只间隔(s)</x:v>
      </x:c>
      <x:c r="F9" s="14" t="str">
        <x:v>上一Combo</x:v>
      </x:c>
      <x:c r="G9" s="14" t="str">
        <x:v>计算Combo</x:v>
      </x:c>
      <x:c r="H9" s="14" t="str">
        <x:v>连续性</x:v>
      </x:c>
      <x:c r="I9" s="14" t="str">
        <x:v>期望Combo</x:v>
      </x:c>
      <x:c r="J9" s="14" t="str">
        <x:v>验算</x:v>
      </x:c>
    </x:row>
    <x:row r="10">
      <x:c r="A10" s="33" t="str">
        <x:v>基准</x:v>
      </x:c>
      <x:c r="B10" s="33" t="n">
        <x:v>1</x:v>
      </x:c>
      <x:c r="C10" s="58" t="n">
        <x:v>0</x:v>
      </x:c>
      <x:c r="D10" s="33" t="str">
        <x:v>兔子</x:v>
      </x:c>
      <x:c r="E10" s="60" t="str"/>
      <x:c r="F10" s="56" t="n">
        <x:v>0</x:v>
      </x:c>
      <x:c r="G10" s="56" t="n">
        <x:f>1</x:f>
        <x:v>1</x:v>
      </x:c>
      <x:c r="H10" s="56" t="str">
        <x:v>新连击</x:v>
      </x:c>
      <x:c r="I10" s="26" t="n">
        <x:v>1</x:v>
      </x:c>
      <x:c r="J10" s="23" t="str">
        <x:f>IF(G10=I10,"通过","失败")</x:f>
        <x:v>通过</x:v>
      </x:c>
    </x:row>
    <x:row r="11">
      <x:c r="A11" s="48" t="str">
        <x:v>基准</x:v>
      </x:c>
      <x:c r="B11" s="48" t="n">
        <x:v>2</x:v>
      </x:c>
      <x:c r="C11" s="59" t="n">
        <x:v>7.999</x:v>
      </x:c>
      <x:c r="D11" s="48" t="str">
        <x:v>小鸭</x:v>
      </x:c>
      <x:c r="E11" s="61" t="n">
        <x:f>C11-C10</x:f>
        <x:v>7.999</x:v>
      </x:c>
      <x:c r="F11" s="57" t="n">
        <x:f>G10</x:f>
        <x:v>1</x:v>
      </x:c>
      <x:c r="G11" s="57" t="n">
        <x:f>IF(E11&lt;$C$6,F11+1,1)</x:f>
        <x:v>2</x:v>
      </x:c>
      <x:c r="H11" s="57" t="str">
        <x:f>IF(E11&lt;$C$6,"延续","中断后重启")</x:f>
        <x:v>延续</x:v>
      </x:c>
      <x:c r="I11" s="27" t="n">
        <x:v>2</x:v>
      </x:c>
      <x:c r="J11" s="24" t="str">
        <x:f>IF(G11=I11,"通过","失败")</x:f>
        <x:v>通过</x:v>
      </x:c>
    </x:row>
    <x:row r="12">
      <x:c r="A12" s="48" t="str">
        <x:v>基准</x:v>
      </x:c>
      <x:c r="B12" s="48" t="n">
        <x:v>3</x:v>
      </x:c>
      <x:c r="C12" s="59" t="n">
        <x:v>12.5</x:v>
      </x:c>
      <x:c r="D12" s="48" t="str">
        <x:v>鲸鱼</x:v>
      </x:c>
      <x:c r="E12" s="61" t="n">
        <x:f>C12-C11</x:f>
        <x:v>4.501</x:v>
      </x:c>
      <x:c r="F12" s="57" t="n">
        <x:f>G11</x:f>
        <x:v>2</x:v>
      </x:c>
      <x:c r="G12" s="57" t="n">
        <x:f>IF(E12&lt;$C$6,F12+1,1)</x:f>
        <x:v>3</x:v>
      </x:c>
      <x:c r="H12" s="57" t="str">
        <x:f>IF(E12&lt;$C$6,"延续","中断后重启")</x:f>
        <x:v>延续</x:v>
      </x:c>
      <x:c r="I12" s="27" t="n">
        <x:v>3</x:v>
      </x:c>
      <x:c r="J12" s="24" t="str">
        <x:f>IF(G12=I12,"通过","失败")</x:f>
        <x:v>通过</x:v>
      </x:c>
    </x:row>
    <x:row r="13">
      <x:c r="A13" s="48" t="str">
        <x:v>边界</x:v>
      </x:c>
      <x:c r="B13" s="48" t="n">
        <x:v>1</x:v>
      </x:c>
      <x:c r="C13" s="59" t="n">
        <x:v>0</x:v>
      </x:c>
      <x:c r="D13" s="48" t="str">
        <x:v>兔子</x:v>
      </x:c>
      <x:c r="E13" s="61" t="str"/>
      <x:c r="F13" s="57" t="n">
        <x:v>0</x:v>
      </x:c>
      <x:c r="G13" s="57" t="n">
        <x:f>1</x:f>
        <x:v>1</x:v>
      </x:c>
      <x:c r="H13" s="57" t="str">
        <x:v>新连击</x:v>
      </x:c>
      <x:c r="I13" s="27" t="n">
        <x:v>1</x:v>
      </x:c>
      <x:c r="J13" s="24" t="str">
        <x:f>IF(G13=I13,"通过","失败")</x:f>
        <x:v>通过</x:v>
      </x:c>
    </x:row>
    <x:row r="14">
      <x:c r="A14" s="48" t="str">
        <x:v>边界</x:v>
      </x:c>
      <x:c r="B14" s="48" t="n">
        <x:v>2</x:v>
      </x:c>
      <x:c r="C14" s="59" t="n">
        <x:v>8</x:v>
      </x:c>
      <x:c r="D14" s="48" t="str">
        <x:v>鲸鱼</x:v>
      </x:c>
      <x:c r="E14" s="61" t="n">
        <x:f>C14-C13</x:f>
        <x:v>8</x:v>
      </x:c>
      <x:c r="F14" s="57" t="n">
        <x:f>G13</x:f>
        <x:v>1</x:v>
      </x:c>
      <x:c r="G14" s="57" t="n">
        <x:f>IF(E14&lt;$C$6,F14+1,1)</x:f>
        <x:v>1</x:v>
      </x:c>
      <x:c r="H14" s="57" t="str">
        <x:f>IF(E14&lt;$C$6,"延续","中断后重启")</x:f>
        <x:v>中断后重启</x:v>
      </x:c>
      <x:c r="I14" s="27" t="n">
        <x:v>1</x:v>
      </x:c>
      <x:c r="J14" s="24" t="str">
        <x:f>IF(G14=I14,"通过","失败")</x:f>
        <x:v>通过</x:v>
      </x:c>
    </x:row>
    <x:row r="15">
      <x:c r="A15" s="48" t="str">
        <x:v>边界</x:v>
      </x:c>
      <x:c r="B15" s="48" t="n">
        <x:v>3</x:v>
      </x:c>
      <x:c r="C15" s="59" t="n">
        <x:v>15.999</x:v>
      </x:c>
      <x:c r="D15" s="48" t="str">
        <x:v>小鸭</x:v>
      </x:c>
      <x:c r="E15" s="61" t="n">
        <x:f>C15-C14</x:f>
        <x:v>7.9990000000000006</x:v>
      </x:c>
      <x:c r="F15" s="57" t="n">
        <x:f>G14</x:f>
        <x:v>1</x:v>
      </x:c>
      <x:c r="G15" s="57" t="n">
        <x:f>IF(E15&lt;$C$6,F15+1,1)</x:f>
        <x:v>2</x:v>
      </x:c>
      <x:c r="H15" s="57" t="str">
        <x:f>IF(E15&lt;$C$6,"延续","中断后重启")</x:f>
        <x:v>延续</x:v>
      </x:c>
      <x:c r="I15" s="27" t="n">
        <x:v>2</x:v>
      </x:c>
      <x:c r="J15" s="24" t="str">
        <x:f>IF(G15=I15,"通过","失败")</x:f>
        <x:v>通过</x:v>
      </x:c>
    </x:row>
    <x:row r="16">
      <x:c r="A16" s="48" t="str">
        <x:v>边界+</x:v>
      </x:c>
      <x:c r="B16" s="48" t="n">
        <x:v>1</x:v>
      </x:c>
      <x:c r="C16" s="59" t="n">
        <x:v>0</x:v>
      </x:c>
      <x:c r="D16" s="48" t="str">
        <x:v>兔子</x:v>
      </x:c>
      <x:c r="E16" s="61" t="str"/>
      <x:c r="F16" s="57" t="n">
        <x:v>0</x:v>
      </x:c>
      <x:c r="G16" s="57" t="n">
        <x:f>1</x:f>
        <x:v>1</x:v>
      </x:c>
      <x:c r="H16" s="57" t="str">
        <x:v>新连击</x:v>
      </x:c>
      <x:c r="I16" s="27" t="n">
        <x:v>1</x:v>
      </x:c>
      <x:c r="J16" s="24" t="str">
        <x:f>IF(G16=I16,"通过","失败")</x:f>
        <x:v>通过</x:v>
      </x:c>
    </x:row>
    <x:row r="17">
      <x:c r="A17" s="48" t="str">
        <x:v>边界+</x:v>
      </x:c>
      <x:c r="B17" s="48" t="n">
        <x:v>2</x:v>
      </x:c>
      <x:c r="C17" s="59" t="n">
        <x:v>8.001</x:v>
      </x:c>
      <x:c r="D17" s="48" t="str">
        <x:v>小鸭</x:v>
      </x:c>
      <x:c r="E17" s="61" t="n">
        <x:f>C17-C16</x:f>
        <x:v>8.001</x:v>
      </x:c>
      <x:c r="F17" s="57" t="n">
        <x:f>G16</x:f>
        <x:v>1</x:v>
      </x:c>
      <x:c r="G17" s="57" t="n">
        <x:f>IF(E17&lt;$C$6,F17+1,1)</x:f>
        <x:v>1</x:v>
      </x:c>
      <x:c r="H17" s="57" t="str">
        <x:f>IF(E17&lt;$C$6,"延续","中断后重启")</x:f>
        <x:v>中断后重启</x:v>
      </x:c>
      <x:c r="I17" s="27" t="n">
        <x:v>1</x:v>
      </x:c>
      <x:c r="J17" s="24" t="str">
        <x:f>IF(G17=I17,"通过","失败")</x:f>
        <x:v>通过</x:v>
      </x:c>
    </x:row>
    <x:row r="18">
      <x:c r="A18" s="48" t="str">
        <x:v>并行鸭</x:v>
      </x:c>
      <x:c r="B18" s="48" t="n">
        <x:v>1</x:v>
      </x:c>
      <x:c r="C18" s="59" t="n">
        <x:v>20</x:v>
      </x:c>
      <x:c r="D18" s="48" t="str">
        <x:v>兔子</x:v>
      </x:c>
      <x:c r="E18" s="61" t="str"/>
      <x:c r="F18" s="57" t="n">
        <x:v>0</x:v>
      </x:c>
      <x:c r="G18" s="57" t="n">
        <x:f>1</x:f>
        <x:v>1</x:v>
      </x:c>
      <x:c r="H18" s="57" t="str">
        <x:v>新连击</x:v>
      </x:c>
      <x:c r="I18" s="27" t="n">
        <x:v>1</x:v>
      </x:c>
      <x:c r="J18" s="24" t="str">
        <x:f>IF(G18=I18,"通过","失败")</x:f>
        <x:v>通过</x:v>
      </x:c>
    </x:row>
    <x:row r="19">
      <x:c r="A19" s="48" t="str">
        <x:v>并行鸭</x:v>
      </x:c>
      <x:c r="B19" s="48" t="n">
        <x:v>2</x:v>
      </x:c>
      <x:c r="C19" s="59" t="n">
        <x:v>21</x:v>
      </x:c>
      <x:c r="D19" s="48" t="str">
        <x:v>小鸭A</x:v>
      </x:c>
      <x:c r="E19" s="61" t="n">
        <x:f>C19-C18</x:f>
        <x:v>1</x:v>
      </x:c>
      <x:c r="F19" s="57" t="n">
        <x:f>G18</x:f>
        <x:v>1</x:v>
      </x:c>
      <x:c r="G19" s="57" t="n">
        <x:f>IF(E19&lt;$C$6,F19+1,1)</x:f>
        <x:v>2</x:v>
      </x:c>
      <x:c r="H19" s="57" t="str">
        <x:f>IF(E19&lt;$C$6,"延续","中断后重启")</x:f>
        <x:v>延续</x:v>
      </x:c>
      <x:c r="I19" s="27" t="n">
        <x:v>2</x:v>
      </x:c>
      <x:c r="J19" s="24" t="str">
        <x:f>IF(G19=I19,"通过","失败")</x:f>
        <x:v>通过</x:v>
      </x:c>
    </x:row>
    <x:row r="20">
      <x:c r="A20" s="48" t="str">
        <x:v>并行鸭</x:v>
      </x:c>
      <x:c r="B20" s="48" t="n">
        <x:v>3</x:v>
      </x:c>
      <x:c r="C20" s="59" t="n">
        <x:v>21</x:v>
      </x:c>
      <x:c r="D20" s="48" t="str">
        <x:v>小鸭B</x:v>
      </x:c>
      <x:c r="E20" s="61" t="n">
        <x:f>C20-C19</x:f>
        <x:v>0</x:v>
      </x:c>
      <x:c r="F20" s="57" t="n">
        <x:f>G19</x:f>
        <x:v>2</x:v>
      </x:c>
      <x:c r="G20" s="57" t="n">
        <x:f>IF(E20&lt;$C$6,F20+1,1)</x:f>
        <x:v>3</x:v>
      </x:c>
      <x:c r="H20" s="57" t="str">
        <x:f>IF(E20&lt;$C$6,"延续","中断后重启")</x:f>
        <x:v>延续</x:v>
      </x:c>
      <x:c r="I20" s="27" t="n">
        <x:v>3</x:v>
      </x:c>
      <x:c r="J20" s="24" t="str">
        <x:f>IF(G20=I20,"通过","失败")</x:f>
        <x:v>通过</x:v>
      </x:c>
    </x:row>
    <x:row r="21">
      <x:c r="A21" s="48" t="str">
        <x:v>并行鸭</x:v>
      </x:c>
      <x:c r="B21" s="48" t="n">
        <x:v>4</x:v>
      </x:c>
      <x:c r="C21" s="59" t="n">
        <x:v>21</x:v>
      </x:c>
      <x:c r="D21" s="48" t="str">
        <x:v>小鸭C</x:v>
      </x:c>
      <x:c r="E21" s="61" t="n">
        <x:f>C21-C20</x:f>
        <x:v>0</x:v>
      </x:c>
      <x:c r="F21" s="57" t="n">
        <x:f>G20</x:f>
        <x:v>3</x:v>
      </x:c>
      <x:c r="G21" s="57" t="n">
        <x:f>IF(E21&lt;$C$6,F21+1,1)</x:f>
        <x:v>4</x:v>
      </x:c>
      <x:c r="H21" s="57" t="str">
        <x:f>IF(E21&lt;$C$6,"延续","中断后重启")</x:f>
        <x:v>延续</x:v>
      </x:c>
      <x:c r="I21" s="27" t="n">
        <x:v>4</x:v>
      </x:c>
      <x:c r="J21" s="24" t="str">
        <x:f>IF(G21=I21,"通过","失败")</x:f>
        <x:v>通过</x:v>
      </x:c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</x:row>
    <x:row r="24" ht="23" customHeight="1">
      <x:c r="A24" s="68" t="str">
        <x:v>UI显示推导</x:v>
      </x:c>
      <x:c r="B24" s="68"/>
      <x:c r="C24" s="68"/>
      <x:c r="D24" s="68"/>
      <x:c r="E24" s="68"/>
      <x:c r="F24" s="68"/>
      <x:c r="G24" s="68"/>
      <x:c r="H24" s="68"/>
      <x:c r="I24" s="68"/>
      <x:c r="J24" s="68"/>
    </x:row>
    <x:row r="25">
      <x:c r="A25" s="14" t="str">
        <x:v>状态</x:v>
      </x:c>
      <x:c r="B25" s="14" t="str">
        <x:v>Combo数</x:v>
      </x:c>
      <x:c r="C25" s="14" t="str">
        <x:v>剩余比例</x:v>
      </x:c>
      <x:c r="D25" s="14" t="str">
        <x:v>进度条</x:v>
      </x:c>
      <x:c r="E25" s="14" t="str">
        <x:v>条内文本</x:v>
      </x:c>
      <x:c r="F25" s="14" t="str">
        <x:v>秒数文本</x:v>
      </x:c>
      <x:c r="G25" s="67"/>
      <x:c r="H25" s="67"/>
      <x:c r="I25" s="67"/>
      <x:c r="J25" s="67"/>
    </x:row>
    <x:row r="26">
      <x:c r="A26" s="20" t="str">
        <x:v>未产生有效离场</x:v>
      </x:c>
      <x:c r="B26" s="33" t="n">
        <x:v>0</x:v>
      </x:c>
      <x:c r="C26" s="62" t="n">
        <x:v>0</x:v>
      </x:c>
      <x:c r="D26" s="23" t="str">
        <x:f>IF(B26&gt;0,"显示","隐藏")</x:f>
        <x:v>隐藏</x:v>
      </x:c>
      <x:c r="E26" s="23" t="str">
        <x:f>IF(B26&gt;0,"连击 ×"&amp;B26,"")</x:f>
      </x:c>
      <x:c r="F26" s="23" t="str">
        <x:v>不显示</x:v>
      </x:c>
      <x:c r="G26" s="67"/>
      <x:c r="H26" s="67"/>
      <x:c r="I26" s="67"/>
      <x:c r="J26" s="67"/>
    </x:row>
    <x:row r="27">
      <x:c r="A27" s="21" t="str">
        <x:v>首次有效离场</x:v>
      </x:c>
      <x:c r="B27" s="48" t="n">
        <x:v>1</x:v>
      </x:c>
      <x:c r="C27" s="63" t="n">
        <x:v>1</x:v>
      </x:c>
      <x:c r="D27" s="24" t="str">
        <x:f>IF(B27&gt;0,"显示","隐藏")</x:f>
        <x:v>显示</x:v>
      </x:c>
      <x:c r="E27" s="24" t="str">
        <x:f>IF(B27&gt;0,"连击 ×"&amp;B27,"")</x:f>
        <x:v>连击 ×1</x:v>
      </x:c>
      <x:c r="F27" s="24" t="str">
        <x:v>不显示</x:v>
      </x:c>
      <x:c r="G27" s="67"/>
      <x:c r="H27" s="67"/>
      <x:c r="I27" s="67"/>
      <x:c r="J27" s="67"/>
    </x:row>
    <x:row r="28">
      <x:c r="A28" s="21" t="str">
        <x:v>进行中</x:v>
      </x:c>
      <x:c r="B28" s="48" t="n">
        <x:v>12</x:v>
      </x:c>
      <x:c r="C28" s="63" t="n">
        <x:v>0.45</x:v>
      </x:c>
      <x:c r="D28" s="24" t="str">
        <x:f>IF(B28&gt;0,"显示","隐藏")</x:f>
        <x:v>显示</x:v>
      </x:c>
      <x:c r="E28" s="24" t="str">
        <x:f>IF(B28&gt;0,"连击 ×"&amp;B28,"")</x:f>
        <x:v>连击 ×12</x:v>
      </x:c>
      <x:c r="F28" s="24" t="str">
        <x:v>不显示</x:v>
      </x:c>
      <x:c r="G28" s="67"/>
      <x:c r="H28" s="67"/>
      <x:c r="I28" s="67"/>
      <x:c r="J28" s="67"/>
    </x:row>
    <x:row r="29">
      <x:c r="A29" s="21" t="str">
        <x:v>倒计时归零</x:v>
      </x:c>
      <x:c r="B29" s="48" t="n">
        <x:v>0</x:v>
      </x:c>
      <x:c r="C29" s="63" t="n">
        <x:v>0</x:v>
      </x:c>
      <x:c r="D29" s="24" t="str">
        <x:f>IF(B29&gt;0,"显示","隐藏")</x:f>
        <x:v>隐藏</x:v>
      </x:c>
      <x:c r="E29" s="24" t="str">
        <x:f>IF(B29&gt;0,"连击 ×"&amp;B29,"")</x:f>
      </x:c>
      <x:c r="F29" s="24" t="str">
        <x:v>不显示</x:v>
      </x:c>
      <x:c r="G29" s="67"/>
      <x:c r="H29" s="67"/>
      <x:c r="I29" s="67"/>
      <x:c r="J29" s="67"/>
    </x:row>
  </x:sheetData>
  <x:mergeCells>
    <x:mergeCell ref="A1:J1"/>
    <x:mergeCell ref="A2:J2"/>
    <x:mergeCell ref="A4:J4"/>
    <x:mergeCell ref="A8:J8"/>
    <x:mergeCell ref="A24:J24"/>
  </x:mergeCells>
  <x:pageMargins left="0.7" right="0.7" top="0.75" bottom="0.75" header="0.3" footer="0.3"/>
  <x:tableParts count="1">
    <x:tablePart xmlns:r="http://schemas.openxmlformats.org/officeDocument/2006/relationships" r:id="Rd292a12bf9594b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2.5" hidden="0" customWidth="1"/>
    <x:col min="3" max="3" width="12.5" hidden="0" customWidth="1"/>
    <x:col min="4" max="4" width="15" hidden="0" customWidth="1"/>
    <x:col min="5" max="5" width="18.1299991607666" hidden="0" customWidth="1"/>
    <x:col min="6" max="6" width="15.630000114440918" hidden="0" customWidth="1"/>
    <x:col min="7" max="7" width="23.75" hidden="0" customWidth="1"/>
    <x:col min="8" max="8" width="10.630000114440918" hidden="0" customWidth="1"/>
    <x:col min="9" max="9" width="11.25" hidden="0" customWidth="1"/>
    <x:col min="10" max="10" width="11.25" hidden="0" customWidth="1"/>
  </x:cols>
  <x:sheetData>
    <x:row r="1" ht="30" customHeight="1">
      <x:c r="A1" s="66" t="str">
        <x:v>提示与重新开始｜交互参数与状态验算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0" customHeight="1">
      <x:c r="A2" s="7" t="str">
        <x:v>提示只强调合法手动玩具，不替玩家操作；重新开始必须确认，并在确认后恢复初始布局、清空 Combo。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</x:row>
    <x:row r="4" ht="23" customHeight="1">
      <x:c r="A4" s="68" t="str">
        <x:v>交互配置</x:v>
      </x:c>
      <x:c r="B4" s="68"/>
      <x:c r="C4" s="68"/>
      <x:c r="D4" s="68"/>
      <x:c r="E4" s="68"/>
      <x:c r="F4" s="68"/>
      <x:c r="G4" s="68"/>
      <x:c r="H4" s="68"/>
      <x:c r="I4" s="68"/>
      <x:c r="J4" s="68"/>
    </x:row>
    <x:row r="5">
      <x:c r="A5" s="14" t="str">
        <x:v>config_key</x:v>
      </x:c>
      <x:c r="B5" s="14" t="str">
        <x:v>value</x:v>
      </x:c>
      <x:c r="C5" s="14" t="str">
        <x:v>unit</x:v>
      </x:c>
      <x:c r="D5" s="14" t="str">
        <x:v>数据级别</x:v>
      </x:c>
      <x:c r="E5" s="14" t="str">
        <x:v>来源</x:v>
      </x:c>
      <x:c r="F5" s="14" t="str">
        <x:v>范围</x:v>
      </x:c>
      <x:c r="G5" s="14" t="str">
        <x:v>检查</x:v>
      </x:c>
      <x:c r="H5" s="67"/>
      <x:c r="I5" s="67"/>
      <x:c r="J5" s="67"/>
    </x:row>
    <x:row r="6">
      <x:c r="A6" s="33" t="str">
        <x:v>hint_emphasis_ms</x:v>
      </x:c>
      <x:c r="B6" s="28" t="n">
        <x:v>1200</x:v>
      </x:c>
      <x:c r="C6" s="20" t="str">
        <x:v>ms</x:v>
      </x:c>
      <x:c r="D6" s="20" t="str">
        <x:v>测试</x:v>
      </x:c>
      <x:c r="E6" s="20" t="str">
        <x:v>MDD v1.0</x:v>
      </x:c>
      <x:c r="F6" s="20" t="str">
        <x:v>300～3000</x:v>
      </x:c>
      <x:c r="G6" s="23" t="str">
        <x:f>IF(AND(B6&gt;=300,B6&lt;=3000),"通过","失败")</x:f>
        <x:v>通过</x:v>
      </x:c>
      <x:c r="H6" s="67"/>
      <x:c r="I6" s="67"/>
      <x:c r="J6" s="67"/>
    </x:row>
    <x:row r="7">
      <x:c r="A7" s="48" t="str">
        <x:v>restart_confirm_mode</x:v>
      </x:c>
      <x:c r="B7" s="48" t="n">
        <x:v>1</x:v>
      </x:c>
      <x:c r="C7" s="21" t="str">
        <x:v>enum</x:v>
      </x:c>
      <x:c r="D7" s="21" t="str">
        <x:v>正式</x:v>
      </x:c>
      <x:c r="E7" s="21" t="str">
        <x:v>用户锁定</x:v>
      </x:c>
      <x:c r="F7" s="21" t="str">
        <x:v>必须=1</x:v>
      </x:c>
      <x:c r="G7" s="24" t="str">
        <x:f>IF(B7=1,"通过","失败")</x:f>
        <x:v>通过</x:v>
      </x:c>
      <x:c r="H7" s="67"/>
      <x:c r="I7" s="67"/>
      <x:c r="J7" s="67"/>
    </x:row>
    <x:row r="8">
      <x:c r="A8" s="48" t="str">
        <x:v>auto_chain_lock_scope</x:v>
      </x:c>
      <x:c r="B8" s="48" t="n">
        <x:v>1</x:v>
      </x:c>
      <x:c r="C8" s="21" t="str">
        <x:v>enum</x:v>
      </x:c>
      <x:c r="D8" s="21" t="str">
        <x:v>正式</x:v>
      </x:c>
      <x:c r="E8" s="21" t="str">
        <x:v>用户锁定</x:v>
      </x:c>
      <x:c r="F8" s="21" t="str">
        <x:v>必须=1</x:v>
      </x:c>
      <x:c r="G8" s="24" t="str">
        <x:f>IF(B8=1,"通过","失败")</x:f>
        <x:v>通过</x:v>
      </x:c>
      <x:c r="H8" s="67"/>
      <x:c r="I8" s="67"/>
      <x:c r="J8" s="67"/>
    </x:row>
    <x:row r="9">
      <x:c r="A9" s="48" t="str">
        <x:v>combo_pause_on_restart_popup</x:v>
      </x:c>
      <x:c r="B9" s="49" t="b">
        <x:v>0</x:v>
      </x:c>
      <x:c r="C9" s="21" t="str">
        <x:v>bool</x:v>
      </x:c>
      <x:c r="D9" s="21" t="str">
        <x:v>正式</x:v>
      </x:c>
      <x:c r="E9" s="21" t="str">
        <x:v>UI文档</x:v>
      </x:c>
      <x:c r="F9" s="21" t="str">
        <x:v>必须=false</x:v>
      </x:c>
      <x:c r="G9" s="24" t="str">
        <x:f>IF(B9=FALSE,"通过","失败")</x:f>
        <x:v>通过</x:v>
      </x:c>
      <x:c r="H9" s="67"/>
      <x:c r="I9" s="67"/>
      <x:c r="J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</x:row>
    <x:row r="12" ht="23" customHeight="1">
      <x:c r="A12" s="68" t="str">
        <x:v>状态场景验算</x:v>
      </x:c>
      <x:c r="B12" s="68"/>
      <x:c r="C12" s="68"/>
      <x:c r="D12" s="68"/>
      <x:c r="E12" s="68"/>
      <x:c r="F12" s="68"/>
      <x:c r="G12" s="68"/>
      <x:c r="H12" s="68"/>
      <x:c r="I12" s="68"/>
      <x:c r="J12" s="68"/>
    </x:row>
    <x:row r="13">
      <x:c r="A13" s="14" t="str">
        <x:v>场景</x:v>
      </x:c>
      <x:c r="B13" s="14" t="str">
        <x:v>玩具点击</x:v>
      </x:c>
      <x:c r="C13" s="14" t="str">
        <x:v>提示</x:v>
      </x:c>
      <x:c r="D13" s="14" t="str">
        <x:v>重新开始</x:v>
      </x:c>
      <x:c r="E13" s="14" t="str">
        <x:v>Combo计时</x:v>
      </x:c>
      <x:c r="F13" s="14" t="str">
        <x:v>盘面</x:v>
      </x:c>
      <x:c r="G13" s="14" t="str">
        <x:v>期望</x:v>
      </x:c>
      <x:c r="H13" s="14" t="str">
        <x:v>验算</x:v>
      </x:c>
      <x:c r="I13" s="67"/>
      <x:c r="J13" s="67"/>
    </x:row>
    <x:row r="14">
      <x:c r="A14" s="20" t="str">
        <x:v>玩家操作阶段</x:v>
      </x:c>
      <x:c r="B14" s="20" t="str">
        <x:v>可用</x:v>
      </x:c>
      <x:c r="C14" s="20" t="str">
        <x:v>可用</x:v>
      </x:c>
      <x:c r="D14" s="20" t="str">
        <x:v>可用</x:v>
      </x:c>
      <x:c r="E14" s="20" t="str">
        <x:v>继续</x:v>
      </x:c>
      <x:c r="F14" s="20" t="str">
        <x:v>当前</x:v>
      </x:c>
      <x:c r="G14" s="20" t="str">
        <x:v>全部可响应</x:v>
      </x:c>
      <x:c r="H14" s="23" t="str">
        <x:v>通过</x:v>
      </x:c>
      <x:c r="I14" s="67"/>
      <x:c r="J14" s="67"/>
    </x:row>
    <x:row r="15">
      <x:c r="A15" s="21" t="str">
        <x:v>小鸭自动连锁</x:v>
      </x:c>
      <x:c r="B15" s="21" t="str">
        <x:v>锁定</x:v>
      </x:c>
      <x:c r="C15" s="21" t="str">
        <x:v>锁定</x:v>
      </x:c>
      <x:c r="D15" s="21" t="str">
        <x:v>锁定</x:v>
      </x:c>
      <x:c r="E15" s="21" t="str">
        <x:v>按有效离场刷新</x:v>
      </x:c>
      <x:c r="F15" s="21" t="str">
        <x:v>逻辑更新</x:v>
      </x:c>
      <x:c r="G15" s="21" t="str">
        <x:v>三类输入均锁定</x:v>
      </x:c>
      <x:c r="H15" s="24" t="str">
        <x:v>通过</x:v>
      </x:c>
      <x:c r="I15" s="67"/>
      <x:c r="J15" s="67"/>
    </x:row>
    <x:row r="16">
      <x:c r="A16" s="21" t="str">
        <x:v>重开弹窗打开</x:v>
      </x:c>
      <x:c r="B16" s="21" t="str">
        <x:v>锁定</x:v>
      </x:c>
      <x:c r="C16" s="21" t="str">
        <x:v>锁定</x:v>
      </x:c>
      <x:c r="D16" s="21" t="str">
        <x:v>弹窗内选择</x:v>
      </x:c>
      <x:c r="E16" s="21" t="str">
        <x:v>不暂停</x:v>
      </x:c>
      <x:c r="F16" s="21" t="str">
        <x:v>冻结展示</x:v>
      </x:c>
      <x:c r="G16" s="21" t="str">
        <x:v>取消返回原盘面</x:v>
      </x:c>
      <x:c r="H16" s="24" t="str">
        <x:v>通过</x:v>
      </x:c>
      <x:c r="I16" s="67"/>
      <x:c r="J16" s="67"/>
    </x:row>
    <x:row r="17">
      <x:c r="A17" s="21" t="str">
        <x:v>确认重新开始</x:v>
      </x:c>
      <x:c r="B17" s="21" t="str">
        <x:v>锁定</x:v>
      </x:c>
      <x:c r="C17" s="21" t="str">
        <x:v>锁定</x:v>
      </x:c>
      <x:c r="D17" s="21" t="str">
        <x:v>执行</x:v>
      </x:c>
      <x:c r="E17" s="21" t="str">
        <x:v>归0</x:v>
      </x:c>
      <x:c r="F17" s="21" t="str">
        <x:v>恢复初始</x:v>
      </x:c>
      <x:c r="G17" s="21" t="str">
        <x:v>重新执行开局鸭扫描</x:v>
      </x:c>
      <x:c r="H17" s="24" t="str">
        <x:v>通过</x:v>
      </x:c>
      <x:c r="I17" s="67"/>
      <x:c r="J17" s="67"/>
    </x:row>
    <x:row r="18">
      <x:c r="A18" s="21" t="str">
        <x:v>普通关完成</x:v>
      </x:c>
      <x:c r="B18" s="21" t="str">
        <x:v>锁定</x:v>
      </x:c>
      <x:c r="C18" s="21" t="str">
        <x:v>锁定</x:v>
      </x:c>
      <x:c r="D18" s="21" t="str">
        <x:v>锁定</x:v>
      </x:c>
      <x:c r="E18" s="21" t="str">
        <x:v>退出UI</x:v>
      </x:c>
      <x:c r="F18" s="21" t="str">
        <x:v>空盘</x:v>
      </x:c>
      <x:c r="G18" s="21" t="str">
        <x:v>显示普通关完成反馈</x:v>
      </x:c>
      <x:c r="H18" s="24" t="str">
        <x:v>通过</x:v>
      </x:c>
      <x:c r="I18" s="67"/>
      <x:c r="J18" s="67"/>
    </x:row>
    <x:row r="19">
      <x:c r="A19" s="21" t="str">
        <x:v>夜晚终关</x:v>
      </x:c>
      <x:c r="B19" s="21" t="str">
        <x:v>锁定</x:v>
      </x:c>
      <x:c r="C19" s="21" t="str">
        <x:v>锁定</x:v>
      </x:c>
      <x:c r="D19" s="21" t="str">
        <x:v>锁定</x:v>
      </x:c>
      <x:c r="E19" s="21" t="str">
        <x:v>退出UI</x:v>
      </x:c>
      <x:c r="F19" s="21" t="str">
        <x:v>空盘</x:v>
      </x:c>
      <x:c r="G19" s="21" t="str">
        <x:v>引用章节终关演出</x:v>
      </x:c>
      <x:c r="H19" s="24" t="str">
        <x:v>通过</x:v>
      </x:c>
      <x:c r="I19" s="67"/>
      <x:c r="J19" s="67"/>
    </x:row>
  </x:sheetData>
  <x:mergeCells>
    <x:mergeCell ref="A1:J1"/>
    <x:mergeCell ref="A2:J2"/>
    <x:mergeCell ref="A4:J4"/>
    <x:mergeCell ref="A12:J12"/>
  </x:mergeCells>
  <x:dataValidations count="1">
    <x:dataValidation type="list" sqref="B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b5a51f80540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8.75" hidden="0" customWidth="1"/>
    <x:col min="3" max="3" width="18.1299991607666" hidden="0" customWidth="1"/>
    <x:col min="4" max="4" width="31.25" hidden="0" customWidth="1"/>
    <x:col min="5" max="5" width="10" hidden="0" customWidth="1"/>
    <x:col min="6" max="6" width="21.25" hidden="0" customWidth="1"/>
  </x:cols>
  <x:sheetData>
    <x:row r="1" ht="30" customHeight="1">
      <x:c r="A1" s="66" t="str">
        <x:v>通用枚举｜gameplay_enum_cfg</x:v>
      </x:c>
      <x:c r="B1" s="66"/>
      <x:c r="C1" s="66"/>
      <x:c r="D1" s="66"/>
      <x:c r="E1" s="66"/>
      <x:c r="F1" s="66"/>
    </x:row>
    <x:row r="2" ht="30" customHeight="1">
      <x:c r="A2" s="7" t="str">
        <x:v>枚举码稳定，中文名可用于工具显示；禁止直接在业务表中新增未登记的模式码。</x:v>
      </x:c>
      <x:c r="B2" s="7"/>
      <x:c r="C2" s="7"/>
      <x:c r="D2" s="7"/>
      <x:c r="E2" s="7"/>
      <x:c r="F2" s="7"/>
    </x:row>
    <x:row r="3">
      <x:c r="A3" s="67"/>
      <x:c r="B3" s="67"/>
      <x:c r="C3" s="67"/>
      <x:c r="D3" s="67"/>
      <x:c r="E3" s="67"/>
      <x:c r="F3" s="67"/>
    </x:row>
    <x:row r="4" ht="23" customHeight="1">
      <x:c r="A4" s="68" t="str">
        <x:v>枚举定义</x:v>
      </x:c>
      <x:c r="B4" s="68"/>
      <x:c r="C4" s="68"/>
      <x:c r="D4" s="68"/>
      <x:c r="E4" s="68"/>
      <x:c r="F4" s="68"/>
    </x:row>
    <x:row r="5">
      <x:c r="A5" s="14" t="str">
        <x:v>enum_type</x:v>
      </x:c>
      <x:c r="B5" s="14" t="str">
        <x:v>code</x:v>
      </x:c>
      <x:c r="C5" s="14" t="str">
        <x:v>display_name</x:v>
      </x:c>
      <x:c r="D5" s="14" t="str">
        <x:v>meaning</x:v>
      </x:c>
      <x:c r="E5" s="14" t="str">
        <x:v>正式性</x:v>
      </x:c>
      <x:c r="F5" s="14" t="str">
        <x:v>备注</x:v>
      </x:c>
    </x:row>
    <x:row r="6">
      <x:c r="A6" s="26" t="str">
        <x:v>input_mode</x:v>
      </x:c>
      <x:c r="B6" s="26" t="n">
        <x:v>1</x:v>
      </x:c>
      <x:c r="C6" s="20" t="str">
        <x:v>玩家点击</x:v>
      </x:c>
      <x:c r="D6" s="20" t="str">
        <x:v>由玩家选择玩具触发</x:v>
      </x:c>
      <x:c r="E6" s="23" t="str">
        <x:v>正式</x:v>
      </x:c>
      <x:c r="F6" s="20" t="str">
        <x:v>兔子/鲸鱼</x:v>
      </x:c>
    </x:row>
    <x:row r="7">
      <x:c r="A7" s="27" t="str">
        <x:v>input_mode</x:v>
      </x:c>
      <x:c r="B7" s="27" t="n">
        <x:v>2</x:v>
      </x:c>
      <x:c r="C7" s="21" t="str">
        <x:v>系统自动</x:v>
      </x:c>
      <x:c r="D7" s="21" t="str">
        <x:v>系统扫描并触发</x:v>
      </x:c>
      <x:c r="E7" s="24" t="str">
        <x:v>正式</x:v>
      </x:c>
      <x:c r="F7" s="21" t="str">
        <x:v>小鸭</x:v>
      </x:c>
    </x:row>
    <x:row r="8">
      <x:c r="A8" s="27" t="str">
        <x:v>exit_rule</x:v>
      </x:c>
      <x:c r="B8" s="27" t="n">
        <x:v>1</x:v>
      </x:c>
      <x:c r="C8" s="21" t="str">
        <x:v>朝向直线</x:v>
      </x:c>
      <x:c r="D8" s="21" t="str">
        <x:v>沿玩具朝向直线移动</x:v>
      </x:c>
      <x:c r="E8" s="24" t="str">
        <x:v>正式</x:v>
      </x:c>
      <x:c r="F8" s="21" t="str">
        <x:v>手动长条</x:v>
      </x:c>
    </x:row>
    <x:row r="9">
      <x:c r="A9" s="27" t="str">
        <x:v>exit_rule</x:v>
      </x:c>
      <x:c r="B9" s="27" t="n">
        <x:v>2</x:v>
      </x:c>
      <x:c r="C9" s="21" t="str">
        <x:v>四方向寻路</x:v>
      </x:c>
      <x:c r="D9" s="21" t="str">
        <x:v>经上下左右空格抵达边缘缺口</x:v>
      </x:c>
      <x:c r="E9" s="24" t="str">
        <x:v>正式</x:v>
      </x:c>
      <x:c r="F9" s="21" t="str">
        <x:v>不看面朝方向</x:v>
      </x:c>
    </x:row>
    <x:row r="10">
      <x:c r="A10" s="27" t="str">
        <x:v>block_move_mode</x:v>
      </x:c>
      <x:c r="B10" s="27" t="n">
        <x:v>0</x:v>
      </x:c>
      <x:c r="C10" s="21" t="str">
        <x:v>不适用</x:v>
      </x:c>
      <x:c r="D10" s="21" t="str">
        <x:v>自动玩具不走手动受阻规则</x:v>
      </x:c>
      <x:c r="E10" s="24" t="str">
        <x:v>正式</x:v>
      </x:c>
      <x:c r="F10" s="21" t="str">
        <x:v>小鸭</x:v>
      </x:c>
    </x:row>
    <x:row r="11">
      <x:c r="A11" s="27" t="str">
        <x:v>block_move_mode</x:v>
      </x:c>
      <x:c r="B11" s="27" t="n">
        <x:v>1</x:v>
      </x:c>
      <x:c r="C11" s="21" t="str">
        <x:v>接触前停下</x:v>
      </x:c>
      <x:c r="D11" s="21" t="str">
        <x:v>移动至阻挡前并立即反馈</x:v>
      </x:c>
      <x:c r="E11" s="24" t="str">
        <x:v>正式</x:v>
      </x:c>
      <x:c r="F11" s="21" t="str">
        <x:v>兔子/鲸鱼</x:v>
      </x:c>
    </x:row>
    <x:row r="12">
      <x:c r="A12" s="27" t="str">
        <x:v>combo_boundary_mode</x:v>
      </x:c>
      <x:c r="B12" s="27" t="n">
        <x:v>1</x:v>
      </x:c>
      <x:c r="C12" s="21" t="str">
        <x:v>严格小于</x:v>
      </x:c>
      <x:c r="D12" s="21" t="str">
        <x:v>间隔等于阈值时视为中断</x:v>
      </x:c>
      <x:c r="E12" s="24" t="str">
        <x:v>正式</x:v>
      </x:c>
      <x:c r="F12" s="21" t="str">
        <x:v>8.000秒边界</x:v>
      </x:c>
    </x:row>
    <x:row r="13">
      <x:c r="A13" s="27" t="str">
        <x:v>combo_zero_display_mode</x:v>
      </x:c>
      <x:c r="B13" s="27" t="n">
        <x:v>1</x:v>
      </x:c>
      <x:c r="C13" s="21" t="str">
        <x:v>归零隐藏</x:v>
      </x:c>
      <x:c r="D13" s="21" t="str">
        <x:v>Combo为0时整条UI隐藏</x:v>
      </x:c>
      <x:c r="E13" s="24" t="str">
        <x:v>正式</x:v>
      </x:c>
      <x:c r="F13" s="21" t="str">
        <x:v>不显示秒数</x:v>
      </x:c>
    </x:row>
    <x:row r="14">
      <x:c r="A14" s="27" t="str">
        <x:v>restart_confirm_mode</x:v>
      </x:c>
      <x:c r="B14" s="27" t="n">
        <x:v>1</x:v>
      </x:c>
      <x:c r="C14" s="21" t="str">
        <x:v>必须确认</x:v>
      </x:c>
      <x:c r="D14" s="21" t="str">
        <x:v>重开前显示确认弹窗</x:v>
      </x:c>
      <x:c r="E14" s="24" t="str">
        <x:v>正式</x:v>
      </x:c>
      <x:c r="F14" s="21" t="str">
        <x:v>取消保留盘面</x:v>
      </x:c>
    </x:row>
    <x:row r="15">
      <x:c r="A15" s="27" t="str">
        <x:v>auto_chain_lock_scope</x:v>
      </x:c>
      <x:c r="B15" s="27" t="n">
        <x:v>1</x:v>
      </x:c>
      <x:c r="C15" s="21" t="str">
        <x:v>锁定三类输入</x:v>
      </x:c>
      <x:c r="D15" s="21" t="str">
        <x:v>玩具、提示、重新开始全部锁定</x:v>
      </x:c>
      <x:c r="E15" s="24" t="str">
        <x:v>正式</x:v>
      </x:c>
      <x:c r="F15" s="21" t="str">
        <x:v>逻辑结算完恢复</x:v>
      </x:c>
    </x:row>
    <x:row r="16">
      <x:c r="A16" s="27" t="str">
        <x:v>feedback_event_type</x:v>
      </x:c>
      <x:c r="B16" s="27" t="n">
        <x:v>1</x:v>
      </x:c>
      <x:c r="C16" s="21" t="str">
        <x:v>撞击</x:v>
      </x:c>
      <x:c r="D16" s="21" t="str">
        <x:v>主动及被撞对象反馈</x:v>
      </x:c>
      <x:c r="E16" s="24" t="str">
        <x:v>正式</x:v>
      </x:c>
      <x:c r="F16" s="21" t="str">
        <x:v>立即</x:v>
      </x:c>
    </x:row>
    <x:row r="17">
      <x:c r="A17" s="27" t="str">
        <x:v>feedback_event_type</x:v>
      </x:c>
      <x:c r="B17" s="27" t="n">
        <x:v>2</x:v>
      </x:c>
      <x:c r="C17" s="21" t="str">
        <x:v>自动离场</x:v>
      </x:c>
      <x:c r="D17" s="21" t="str">
        <x:v>小鸭沿路径离场</x:v>
      </x:c>
      <x:c r="E17" s="24" t="str">
        <x:v>正式</x:v>
      </x:c>
      <x:c r="F17" s="21" t="str">
        <x:v>动画可并行</x:v>
      </x:c>
    </x:row>
    <x:row r="18">
      <x:c r="A18" s="27" t="str">
        <x:v>feedback_event_type</x:v>
      </x:c>
      <x:c r="B18" s="27" t="n">
        <x:v>3</x:v>
      </x:c>
      <x:c r="C18" s="21" t="str">
        <x:v>提示</x:v>
      </x:c>
      <x:c r="D18" s="21" t="str">
        <x:v>合法目标强调</x:v>
      </x:c>
      <x:c r="E18" s="24" t="str">
        <x:v>正式</x:v>
      </x:c>
      <x:c r="F18" s="21" t="str">
        <x:v>不代操作</x:v>
      </x:c>
    </x:row>
    <x:row r="19">
      <x:c r="A19" s="27" t="str">
        <x:v>feedback_event_type</x:v>
      </x:c>
      <x:c r="B19" s="27" t="n">
        <x:v>4</x:v>
      </x:c>
      <x:c r="C19" s="21" t="str">
        <x:v>Combo刷新</x:v>
      </x:c>
      <x:c r="D19" s="21" t="str">
        <x:v>进度条回满、数值刷新</x:v>
      </x:c>
      <x:c r="E19" s="24" t="str">
        <x:v>正式</x:v>
      </x:c>
      <x:c r="F19" s="21" t="str">
        <x:v>不显示秒数</x:v>
      </x:c>
    </x:row>
    <x:row r="20">
      <x:c r="A20" s="27" t="str">
        <x:v>feedback_event_type</x:v>
      </x:c>
      <x:c r="B20" s="27" t="n">
        <x:v>5</x:v>
      </x:c>
      <x:c r="C20" s="21" t="str">
        <x:v>普通关完成</x:v>
      </x:c>
      <x:c r="D20" s="21" t="str">
        <x:v>核心玩法内的完成反馈</x:v>
      </x:c>
      <x:c r="E20" s="24" t="str">
        <x:v>正式</x:v>
      </x:c>
      <x:c r="F20" s="21" t="str">
        <x:v>夜终关除外</x:v>
      </x:c>
    </x:row>
    <x:row r="21">
      <x:c r="A21" s="27" t="str">
        <x:v>target_scope</x:v>
      </x:c>
      <x:c r="B21" s="27" t="n">
        <x:v>1</x:v>
      </x:c>
      <x:c r="C21" s="21" t="str">
        <x:v>主动对象</x:v>
      </x:c>
      <x:c r="D21" s="21" t="str">
        <x:v>只作用于触发者</x:v>
      </x:c>
      <x:c r="E21" s="24" t="str">
        <x:v>正式</x:v>
      </x:c>
      <x:c r="F21" s="21" t="str"/>
    </x:row>
    <x:row r="22">
      <x:c r="A22" s="27" t="str">
        <x:v>target_scope</x:v>
      </x:c>
      <x:c r="B22" s="27" t="n">
        <x:v>3</x:v>
      </x:c>
      <x:c r="C22" s="21" t="str">
        <x:v>主动+被撞</x:v>
      </x:c>
      <x:c r="D22" s="21" t="str">
        <x:v>两者同步反馈</x:v>
      </x:c>
      <x:c r="E22" s="24" t="str">
        <x:v>正式</x:v>
      </x:c>
      <x:c r="F22" s="21" t="str">
        <x:v>撞击</x:v>
      </x:c>
    </x:row>
    <x:row r="23">
      <x:c r="A23" s="27" t="str">
        <x:v>target_scope</x:v>
      </x:c>
      <x:c r="B23" s="27" t="n">
        <x:v>4</x:v>
      </x:c>
      <x:c r="C23" s="21" t="str">
        <x:v>全局UI</x:v>
      </x:c>
      <x:c r="D23" s="21" t="str">
        <x:v>作用于HUD或完成反馈</x:v>
      </x:c>
      <x:c r="E23" s="24" t="str">
        <x:v>正式</x:v>
      </x:c>
      <x:c r="F23" s="21" t="str"/>
    </x:row>
  </x:sheetData>
  <x:mergeCells>
    <x:mergeCell ref="A1:F1"/>
    <x:mergeCell ref="A2:F2"/>
    <x:mergeCell ref="A4:F4"/>
  </x:mergeCells>
  <x:pageMargins left="0.7" right="0.7" top="0.75" bottom="0.75" header="0.3" footer="0.3"/>
  <x:tableParts count="1">
    <x:tablePart xmlns:r="http://schemas.openxmlformats.org/officeDocument/2006/relationships" r:id="Rd1a0caa9620748c7"/>
  </x:tableParts>
</x:worksheet>
</file>